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varun/Work/ved-scout/000_manual-testing/output/"/>
    </mc:Choice>
  </mc:AlternateContent>
  <xr:revisionPtr revIDLastSave="0" documentId="13_ncr:1_{1E1B71BC-DAFE-1743-B00E-739F9C68CAE5}" xr6:coauthVersionLast="47" xr6:coauthVersionMax="47" xr10:uidLastSave="{00000000-0000-0000-0000-000000000000}"/>
  <bookViews>
    <workbookView xWindow="0" yWindow="500" windowWidth="38400" windowHeight="20620" activeTab="1" xr2:uid="{00000000-000D-0000-FFFF-FFFF00000000}"/>
  </bookViews>
  <sheets>
    <sheet name="Claude Log" sheetId="2" r:id="rId1"/>
    <sheet name="Chat log" sheetId="1" r:id="rId2"/>
  </sheets>
  <definedNames>
    <definedName name="_xlnm._FilterDatabase" localSheetId="1" hidden="1">'Chat log'!$A$1:$T$18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1" l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<sst xmlns="http://schemas.openxmlformats.org/spreadsheetml/2006/main" count="130" uniqueCount="125">
  <si>
    <t>Name</t>
  </si>
  <si>
    <t>Timestamp</t>
  </si>
  <si>
    <t>Input</t>
  </si>
  <si>
    <t>Output</t>
  </si>
  <si>
    <t>Input tokens</t>
  </si>
  <si>
    <t>Output tokens</t>
  </si>
  <si>
    <t>Est. cost ($)</t>
  </si>
  <si>
    <t>Time (s)</t>
  </si>
  <si>
    <t>Grade</t>
  </si>
  <si>
    <t>Direction</t>
  </si>
  <si>
    <t>Overlap</t>
  </si>
  <si>
    <t>Coverage</t>
  </si>
  <si>
    <t>Waypoints</t>
  </si>
  <si>
    <t>Height</t>
  </si>
  <si>
    <t>Comments</t>
  </si>
  <si>
    <t>naive-5.2-reason-none-run1</t>
  </si>
  <si>
    <t>naive-5.2-reason-high-run1</t>
  </si>
  <si>
    <t>2026-03-07T18:51:37.599561</t>
  </si>
  <si>
    <t>[cache-bust: dFPJnjNvko8Iau]
You are a UAV flight planning assistant.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</si>
  <si>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40.472427000000, -86.994200369836, 10
40.472559322541, -86.993608138366, 10
40.472559000000, -86.993858062927, 10
40.472427413383, -86.993607999999, 10
40.472427000000, -86.994200369836, 10
40.472559322541, -86.993608138366, 10</t>
  </si>
  <si>
    <t>0.001972</t>
  </si>
  <si>
    <t>2026-03-07T18:53:25.238097</t>
  </si>
  <si>
    <t>[cache-bust: Kjv7T3tIYFfA8t]
You are a UAV flight planning assistant.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</si>
  <si>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40.4724270000, -86.9942003698, 10
40.4724270000, -86.9936080000, 10
40.4724341993, -86.9936080000, 10
40.4724341993, -86.9942003698, 10
40.4724413986, -86.9942003698, 10
40.4724413986, -86.9936080000, 10
40.4724485979, -86.9936080000, 10
40.4724485979, -86.9942003698, 10
40.4724557972, -86.9942003698, 10
40.4724557972, -86.9936080000, 10
40.4724629966, -86.9936080000, 10
40.4724629966, -86.9942003698, 10
40.4724701959, -86.9942003698, 10
40.4724701959, -86.9936080000, 10
40.4724773952, -86.9936080000, 10
40.4724773952, -86.9942003698, 10
40.4724845945, -86.9942003698, 10
40.4724845945, -86.9936080000, 10
40.4724917938, -86.9936080000, 10
40.4724917938, -86.9942003698, 10
40.4724989931, -86.9942003698, 10
40.4724989931, -86.9936080000, 10
40.4725061924, -86.9936080000, 10
40.4725061924, -86.9942003698, 10
40.4725133917, -86.9942003698, 10
40.4725133917, -86.9936080000, 10
40.4725205910, -86.9936080000, 10
40.4725205910, -86.9942003698, 10
40.4725277903, -86.9942003698, 10
40.4725277903, -86.9936080000, 10
40.4725349897, -86.9936080000, 10
40.4725349897, -86.9942003698, 10
40.4725421890, -86.9942003698, 10
40.4725421890, -86.9936080000, 10
40.4725493883, -86.9936080000, 10
40.4725493883, -86.9942003698, 10
40.4725565876, -86.9942003698, 10
40.4725565876, -86.9936080000, 10
40.4725593225, -86.9936080000, 10
40.4725593225, -86.9942003698, 10</t>
  </si>
  <si>
    <t>0.097893</t>
  </si>
  <si>
    <t>smart-5.2-code-interpreter-run1</t>
  </si>
  <si>
    <t>2026-03-07T18:54:33.648348</t>
  </si>
  <si>
    <t>[cache-bust: blMHaRUI0geZzn]
You are a UAV flight planning assistant. **Use the code interpreter tool to compute the flight plan.**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</si>
  <si>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40.472548888950, -86.993884283248, 10
40.472559087904, -86.993789949952, 10
40.472559175807, -86.993721836977, 10
40.472548976853, -86.993816170273, 10
40.472549064756, -86.993748057298, 10
40.472559263710, -86.993653724003, 10
40.472559351614, -86.993585611028, 10
40.472549152660, -86.993679944324, 10
40.472549240563, -86.993611831349, 10
40.472559439517, -86.993517498053, 10
40.472559527421, -86.993449385078, 10
40.472549328467, -86.993543718374, 10
40.472549416370, -86.993475605399, 10
40.472559615324, -86.993381272104, 10
40.472559703228, -86.993313159129, 10
40.472549504274, -86.993407492425, 10
40.472549592177, -86.993339379450, 10
40.472559791131, -86.993245046154, 10
40.472559879035, -86.993176933179, 10
40.472549679, -86.993271266475, 10
40.472549767, -86.993203153500, 10
40.472559966, -86.993108820205, 10
40.472560054, -86.993040707230, 10
40.472549855, -86.993135040526, 10
40.472549943, -86.993066927551, 10
40.472560142, -86.992972594255, 10
40.472560230, -86.992904481280, 10
40.472550031, -86.992998814576, 10
40.472550119, -86.992930701601, 10
40.472560318, -86.992836368306, 10
40.472560406, -86.992768255331, 10
40.472550207, -86.992862588627, 10
40.472550295, -86.992794475652, 10
40.472560494, -86.992700142356, 10
40.472560582, -86.992632029381, 10
40.472550383, -86.992726362677, 10
40.472550471, -86.992658249702, 10
40.472560670, -86.992563916407, 10
40.472560758, -86.992495803432, 10
40.472550559, -86.992590136728, 10
40.472550647, -86.992522023753, 10
40.472560846, -86.992427690457, 10</t>
  </si>
  <si>
    <t>0.027783</t>
  </si>
  <si>
    <t>Extremely Dangerous</t>
  </si>
  <si>
    <t>naive-5.4-reason-none-run1</t>
  </si>
  <si>
    <t>2026-03-07T18:55:07.022760</t>
  </si>
  <si>
    <t>[cache-bust: WGPs5uG6W69Xzc]
You are a UAV flight planning assistant.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</si>
  <si>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40.472427000, -86.994200370, 10
40.472559323, -86.993608138, 10
40.472554923, -86.993607999, 10
40.472422601, -86.994200231, 10
40.472418202, -86.994200092, 10
40.472550524, -86.993607861, 10
40.472546125, -86.993607723, 10
40.472413803, -86.994199954, 10
40.472409404, -86.994199815, 10
40.472541726, -86.993607584, 10
40.472537327, -86.993607446, 10
40.472409000, -86.993850438, 10
40.472540678, -86.993850576, 10
40.472536278, -86.993850715, 10
40.472404601, -86.993850577, 10
40.472400202, -86.993850438, 10
40.472531879, -86.993850577, 10
40.472527480, -86.993850715, 10
40.472395803, -86.993850577, 10
40.472391404, -86.993850438, 10
40.472523081, -86.993850577, 10
40.472518682, -86.993850715, 10
40.472387005, -86.993850577, 10
40.472382606, -86.993850438, 10
40.472514283, -86.993850577, 10
40.472509884, -86.993850715, 10
40.472378207, -86.993850577, 10
40.472373808, -86.993850438, 10
40.472505485, -86.993850577, 10
40.472501086, -86.993850715, 10
40.472369409, -86.993850577, 10
40.472365010, -86.993850438, 10
40.472496687, -86.993850577, 10
40.472492288, -86.993850715, 10
40.472360611, -86.993850577, 10
40.472356212, -86.993850438, 10
40.472487889, -86.993850577, 10
40.472483490, -86.993850715, 10
40.472351813, -86.993850577, 10
40.472347414, -86.993850438, 10
40.472479091, -86.993850577, 10
40.472474692, -86.993850715, 10
40.472343015, -86.993850577, 10
40.472338616, -86.993850438, 10
40.472470293, -86.993850577, 10
40.472465894, -86.993850715, 10
40.472334217, -86.993850577, 10
40.472329818, -86.993850438, 10
40.472461495, -86.993850577, 10
40.472457096, -86.993850715, 10
40.472325419, -86.993850577, 10
40.472321020, -86.993850438, 10
40.472452697, -86.993850577, 10
40.472448298, -86.993850715, 10
40.472316621, -86.993850577, 10
40.472312222, -86.993850438, 10
40.472443899, -86.993850577, 10
40.472439500, -86.993850715, 10
40.472307823, -86.993850577, 10
40.472303424, -86.993850438, 10
40.472435101, -86.993850577, 10
40.472430702, -86.993850715, 10
40.472299025, -86.993850577, 10
40.472294626, -86.993850438, 10
40.472426303, -86.993850577, 10
40.472421904, -86.993850715, 10
40.472290227, -86.993850577, 10
40.472285828, -86.993850438, 10
40.472417505, -86.993850577, 10
40.472413106, -86.993850715, 10
40.472281429, -86.993850577, 10
40.472277030, -86.993850438, 10
40.472408707, -86.993850577, 10
40.472404308, -86.993850715, 10
40.472272631, -86.993850577, 10
40.472268232, -86.993850438, 10
40.472399909, -86.993850577, 10
40.472395510, -86.993850715, 10
40.472263833, -86.993850577, 10
40.472259434, -86.993850438, 10
40.472391111, -86.993850577, 10
40.472386712, -86.993850715, 10
40.472255035, -86.993850577, 10
40.472250636, -86.993850438, 10
40.472382313, -86.993850577, 10
40.472377914, -86.993850715, 10
40.472246237, -86.993850577, 10
40.472241838, -86.993850438, 10
40.472373515, -86.993850577, 10
40.472369116, -86.993850715, 10
40.472237439, -86.993850577, 10
40.472233040, -86.993850438, 10
40.472364717, -86.993850577, 10
40.472360318, -86.993850715, 10
40.472228641, -86.993850577, 10
40.472224242, -86.993850438, 10
40.472355919, -86.993850577, 10
40.472351520, -86.993850715, 10
40.472219843, -86.993850577, 10
40.472215444, -86.993850438, 10
40.472347121, -86.993850577, 10
40.472342722, -86.993850715, 10
40.472211045, -86.993850577, 10
40.472206646, -86.993850438, 10
40.472338323, -86.993850577, 10
40.472333924, -86.993850715, 10
40.472202247, -86.993850577, 10
40.472197848, -86.993850438, 10
40.472329525, -86.993850577, 10
40.472325126, -86.993850715, 10
40.472193449, -86.993850577, 10
40.472189050, -86.993850438, 10
40.472320727, -86.993850577, 10
40.472316328, -86.993850715, 10
40.472184651, -86.993850577, 10
40.472180252, -86.993850438, 10
40.472311929, -86.993850577, 10
40.472307530, -86.993850715, 10
40.472175853, -86.993850577, 10
40.472171454, -86.993850438, 10
40.472303131, -86.993850577, 10
40.472298732, -86.993850715, 10
40.472167055, -86.993850577, 10
40.472162656, -86.993850438, 10
40.472294333, -86.993850577, 10
40.472289934, -86.993850715, 10
40.472158257, -86.993850577, 10
40.472153858, -86.993850438, 10
40.472285535, -86.993850577, 10
40.472281136, -86.993850715, 10
40.472149459, -86.993850577, 10
40.472145060, -86.993850438, 10
40.472276737, -86.993850577, 10
40.472272338, -86.993850715, 10
40.472140661, -86.993850577, 10
40.472136262, -86.993850438, 10
40.472267939, -86.993850577, 10
40.472263540, -86.993850715, 10
40.472131863, -86.993850577, 10
40.472127464, -86.993850438, 10
40.472259141, -86.993850577, 10
40.472254742, -86.993850715, 10
40.472123065, -86.993850577, 10
40.472118666, -86.993850438, 10
40.472250343, -86.993850577, 10
40.472245944, -86.993850715, 10
40.472114267, -86.993850577, 10
40.472109868, -86.993850438, 10
40.472241545, -86.993850577, 10
40.472237146, -86.993850715, 10
40.472105469, -86.993850577, 10
40.472101070, -86.993850438, 10
40.472232747, -86.993850577, 10
40.472228348, -86.993850715, 10
40.472096671, -86.993850577, 10
40.472092272, -86.993850438, 10
40.472223949, -86.993850577, 10
40.472219550, -86.993850715, 10
40.472087873, -86.993850577, 10
40.472083474, -86.993850438, 10
40.472215151, -86.993850577, 10
40.472210752, -86.993850715, 10
40.472079075, -86.993850577, 10
40.472074676, -86.993850438, 10
40.472206353, -86.993850577, 10
40.472201954, -86.993850715, 10
40.472070277, -86.993850577, 10
40.472065878, -86.993850438, 10
40.472197555, -86.993850577, 10
40.472193156, -86.993850715, 10
40.472061479, -86.993850577, 10
40.472057080, -86.993850438, 10
40.472188757, -86.993850577, 10
40.472184358, -86.993850715, 10
40.472052681, -86.993850577, 10
40.472048282, -86.993850438, 10
40.472179959, -86.993850577, 10
40.472175560, -86.993850715, 10
40.472043883, -86.993850577, 10
40.472039484, -86.993850438, 10
40.472171161, -86.993850577, 10
40.472166762, -86.993850715, 10
40.472035085, -86.993850577, 10
40.472030686, -86.993850438, 10
40.472162363, -86.993850577, 10
40.472157964, -86.993850715, 10
40.472026287, -86.993850577, 10
40.472021888, -86.993850438, 10
40.472153565, -86.993850577, 10
40.472149166, -86.993850715, 10
40.472017489, -86.993850577, 10
40.472013090, -86.993850438, 10
40.472144767, -86.993850577, 10
40.472140368, -86.993850715, 10
40.472008691, -86.993850577, 10
40.472004292, -86.993850438, 10
40.472135969, -86.993850577, 10
40.472131570, -86.993850715, 10
40.471999893, -86.993850577, 10</t>
  </si>
  <si>
    <t>0.048407</t>
  </si>
  <si>
    <t>naive-5.2-reason-none-run2</t>
  </si>
  <si>
    <t>2026-03-07T18:55:16.331432</t>
  </si>
  <si>
    <t>[cache-bust: 8CKZwtQfoRA3Dp]
You are a UAV flight planning assistant.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</si>
  <si>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40.472427000000, -86.994200369836, 10
40.472559322541, -86.994200369836, 10
40.472559322541, -86.994171955763, 10
40.472427000000, -86.994171955763, 10
40.472427000000, -86.994143541690, 10
40.472559322541, -86.994143541690, 10
40.472559322541, -86.994115127617, 10
40.472427000000, -86.994115127617, 10
40.472427000000, -86.994086713544, 10
40.472559322541, -86.994086713544, 10
40.472559322541, -86.994058299471, 10
40.472427000000, -86.994058299471, 10
40.472427000000, -86.994029885398, 10
40.472559322541, -86.994029885398, 10
40.472559322541, -86.994001471325, 10
40.472427000000, -86.994001471325, 10
40.472427000000, -86.993973057252, 10
40.472559322541, -86.993973057252, 10
40.472559322541, -86.993944643179, 10
40.472427000000, -86.993944643179, 10
40.472427000000, -86.993916229106, 10
40.472559322541, -86.993916229106, 10
40.472559322541, -86.993887815033, 10
40.472427000000, -86.993887815033, 10
40.472427000000, -86.993859400960, 10
40.472559322541, -86.993859400960, 10
40.472559322541, -86.993830986887, 10
40.472427000000, -86.993830986887, 10
40.472427000000, -86.993802572814, 10
40.472559322541, -86.993802572814, 10
40.472559322541, -86.993774158741, 10
40.472427000000, -86.993774158741, 10
40.472427000000, -86.993745744668, 10
40.472559322541, -86.993745744668, 10
40.472559322541, -86.993717330595, 10
40.472427000000, -86.993717330595, 10
40.472427000000, -86.993688916522, 10
40.472559322541, -86.993688916522, 10
40.472559322541, -86.993660502449, 10
40.472427000000, -86.993660502449, 10
40.472427000000, -86.993632088376, 10
40.472559322541, -86.993632088376, 10
40.472559322541, -86.993608138366, 10
40.472427000000, -86.993608138366, 10</t>
  </si>
  <si>
    <t>0.011550</t>
  </si>
  <si>
    <t>naive-5.2-reason-high-run2</t>
  </si>
  <si>
    <t>2026-03-07T18:56:55.959103</t>
  </si>
  <si>
    <t>[cache-bust: pEbXySSt7kQ8SS]
You are a UAV flight planning assistant.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</si>
  <si>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40.47242700, -86.99420037, 10
40.47242741, -86.99360800, 10
40.47243436, -86.99360801, 10
40.47243395, -86.99418235, 10
40.47244089, -86.99416434, 10
40.47244130, -86.99360801, 10
40.47244824, -86.99360802, 10
40.47244784, -86.99414632, 10
40.47245479, -86.99412831, 10
40.47245518, -86.99360803, 10
40.47246213, -86.99360804, 10
40.47246174, -86.99411029, 10
40.47246868, -86.99409227, 10
40.47246907, -86.99360804, 10
40.47247601, -86.99360805, 10
40.47247563, -86.99407426, 10
40.47248258, -86.99405624, 10
40.47248295, -86.99360806, 10
40.47248990, -86.99360807, 10
40.47248953, -86.99403822, 10
40.47249647, -86.99402021, 10
40.47249684, -86.99360807, 10
40.47250378, -86.99360808, 10
40.47250342, -86.99400219, 10
40.47251037, -86.99398418, 10
40.47251072, -86.99360809, 10
40.47251767, -86.99360809, 10
40.47251732, -86.99396616, 10
40.47252426, -86.99394814, 10
40.47252461, -86.99360810, 10
40.47253155, -86.99360811, 10
40.47253121, -86.99393013, 10
40.47253816, -86.99391211, 10
40.47253849, -86.99360812, 10
40.47254544, -86.99360812, 10
40.47254511, -86.99389410, 10
40.47255205, -86.99387608, 10
40.47255238, -86.99360813, 10
40.47255932, -86.99360814, 10
40.47255900, -86.99385806, 10</t>
  </si>
  <si>
    <t>0.103658</t>
  </si>
  <si>
    <t>Best Run</t>
  </si>
  <si>
    <t>smart-5.2-code-interpreter-run2</t>
  </si>
  <si>
    <t>2026-03-07T18:58:00.624839</t>
  </si>
  <si>
    <t>[cache-bust: 1MiIua1Kwo72iC]
You are a UAV flight planning assistant. **Use the code interpreter tool to compute the flight plan.**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</si>
  <si>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40.47183157, -86.99450098, 10
40.47176613, -86.99510572, 10
40.47183711, -86.99501242, 10
40.47190255, -86.99440768, 10
40.47197353, -86.99431438, 10
40.47190808, -86.99491912, 10
40.47197906, -86.99482582, 10
40.47204450, -86.99422108, 10
40.47211548, -86.99412778, 10
40.47205004, -86.99473252, 10
40.47212101, -86.99463922, 10
40.47218645, -86.99403448, 10
40.47225743, -86.99394118, 10
40.47219199, -86.99454591, 10
40.47226296, -86.99445261, 10
40.47232841, -86.99384787, 10
40.47239938, -86.99375457, 10
40.47233394, -86.99435931, 10
40.47240491, -86.99426601, 10
40.47247036, -86.99366127, 10
40.47254133, -86.99356797, 10
40.47247589, -86.99417271, 10
40.47254686, -86.99407941, 10
40.47261231, -86.99347467, 10
40.47268328, -86.99338137, 10
40.47261784, -86.99398611, 10
40.47268881, -86.99389281, 10
40.47275426, -86.99328807, 10
40.47282523, -86.99319477, 10
40.47275979, -86.99379951, 10
40.47283076, -86.99370621, 10
40.47289621, -86.99310147, 10
40.47296718, -86.99300817, 10
40.47290174, -86.99361291, 10
40.47297271, -86.99351961, 10
40.47303816, -86.99291487, 10
40.47310913, -86.99282157, 10
40.47304369, -86.99342631, 10
40.47311466, -86.99333301, 10
40.47318011, -86.99272827, 10
40.47325108, -86.99263497, 10
40.47318564, -86.99323971, 10
40.47325661, -86.99314641, 10
40.47332206, -86.99254167, 10
40.47338750, -86.99306656, 10
40.47331736, -86.99306656, 10</t>
  </si>
  <si>
    <t>0.034433</t>
  </si>
  <si>
    <t>naive-5.4-reason-none-run2</t>
  </si>
  <si>
    <t>2026-03-07T18:58:12.572056</t>
  </si>
  <si>
    <t>[cache-bust: zWf60pJXR09tcz]
You are a UAV flight planning assistant.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</si>
  <si>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40.472427000000, -86.994200369836, 10
40.472559322541, -86.993608138366, 10
40.472533000000, -86.993608110733, 10
40.472400677459, -86.994200342203, 10
40.472374354917, -86.994200314570, 10
40.472506677459, -86.993608083100, 10
40.472480354917, -86.993608055467, 10
40.472348032376, -86.994200286937, 10
40.472321709834, -86.994200259304, 10
40.472454032376, -86.993608027834, 10
40.472427709834, -86.993608000201, 10
40.472295387293, -86.994200231671, 10
40.472269064752, -86.994200204038, 10
40.472401387293, -86.993607972568, 10
40.472375064752, -86.993607944935, 10
40.472242742210, -86.994200176405, 10
40.472216419669, -86.994200148772, 10
40.472348742210, -86.993607917302, 10
40.472322419669, -86.993607889669, 10
40.472190097127, -86.994200121139, 10
40.472163774586, -86.994200093506, 10
40.472296097127, -86.993607862036, 10
40.472269774586, -86.993607834403, 10
40.472137452044, -86.994200066873, 10
40.472111129503, -86.994200039240, 10
40.472243452044, -86.993607807770, 10
40.472217129503, -86.993607780137, 10
40.472084806962, -86.994200011607, 10
40.472058484420, -86.994199983974, 10
40.472190806962, -86.993607753504, 10
40.472164484420, -86.993607725871, 10
40.472032161879, -86.994199956341, 10
40.472005839337, -86.994199928708, 10
40.472138161879, -86.993607698238, 10
40.472111839337, -86.993607670605, 10
40.471979516796, -86.994199901075, 10</t>
  </si>
  <si>
    <t>0.010365</t>
  </si>
  <si>
    <t>naive-5.2-reason-none-run3</t>
  </si>
  <si>
    <t>2026-03-07T18:58:37.602641</t>
  </si>
  <si>
    <t>[cache-bust: fE2m4L7PN6Kds3]
You are a UAV flight planning assistant.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</si>
  <si>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
40.472427000000, -86.994200369836, 10
40.472559322541, -86.993608138366, 10
40.472559000000, -86.993858062927, 10
40.472427413383, -86.993607999999, 10</t>
  </si>
  <si>
    <t>0.036754</t>
  </si>
  <si>
    <t>naive-5.2-reason-high-run3</t>
  </si>
  <si>
    <t>2026-03-07T18:59:52.953089</t>
  </si>
  <si>
    <t>[cache-bust: wKNb6vLJa4W9PQ]
You are a UAV flight planning assistant.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</si>
  <si>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40.4724270000, -86.9942003698, 10
40.4724270000, -86.9936080000, 10
40.4724341986, -86.9936080000, 10
40.4724341986, -86.9942003698, 10
40.4724413972, -86.9942003698, 10
40.4724413972, -86.9936080000, 10
40.4724485958, -86.9936080000, 10
40.4724485958, -86.9942003698, 10
40.4724557944, -86.9942003698, 10
40.4724557944, -86.9936080000, 10
40.4724629930, -86.9936080000, 10
40.4724629930, -86.9942003698, 10
40.4724701916, -86.9942003698, 10
40.4724701916, -86.9936080000, 10
40.4724773902, -86.9936080000, 10
40.4724773902, -86.9942003698, 10
40.4724845888, -86.9942003698, 10
40.4724845888, -86.9936080000, 10
40.4724917874, -86.9936080000, 10
40.4724917874, -86.9942003698, 10
40.4724989860, -86.9942003698, 10
40.4724989860, -86.9936080000, 10
40.4725061846, -86.9936080000, 10
40.4725061846, -86.9942003698, 10
40.4725133832, -86.9942003698, 10
40.4725133832, -86.9936080000, 10
40.4725205818, -86.9936080000, 10
40.4725205818, -86.9942003698, 10
40.4725277804, -86.9942003698, 10
40.4725277804, -86.9936080000, 10
40.4725349790, -86.9936080000, 10
40.4725349790, -86.9942003698, 10
40.4725421776, -86.9942003698, 10
40.4725421776, -86.9936080000, 10
40.4725493762, -86.9936080000, 10
40.4725493762, -86.9942003698, 10
40.4725565748, -86.9942003698, 10
40.4725565748, -86.9936080000, 10
40.4725593225, -86.9936080000, 10
40.4725593225, -86.9942003698, 10</t>
  </si>
  <si>
    <t>0.076694</t>
  </si>
  <si>
    <t>Larger Rectangular Field</t>
  </si>
  <si>
    <t>smart-5.2-code-interpreter-run3</t>
  </si>
  <si>
    <t>2026-03-07T19:00:57.726899</t>
  </si>
  <si>
    <t>[cache-bust: 1Y4xEg93I7hodG]
You are a UAV flight planning assistant. **Use the code interpreter tool to compute the flight plan.**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</si>
  <si>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40.47258552, -86.99361304, 10.0
40.47252007, -86.99421777, 10.0
40.47251296, -86.99421644, 10.0
40.47257840, -86.99361171, 10.0
40.47257129, -86.99361038, 10.0
40.47250584, -86.99421511, 10.0
40.47249873, -86.99421378, 10.0
40.47256417, -86.99360905, 10.0
40.47255706, -86.99360771, 10.0
40.47249161, -86.99421245, 10.0
40.47248450, -86.99421112, 10.0
40.47254994, -86.99360638, 10.0
40.47254283, -86.99360505, 10.0
40.47247738, -86.99420979, 10.0
40.47247027, -86.99420846, 10.0
40.47253571, -86.99360372, 10.0
40.47252860, -86.99360239, 10.0
40.47246315, -86.99420713, 10.0
40.47245604, -86.99420580, 10.0
40.47252148, -86.99360106, 10.0
40.47251437, -86.99359973, 10.0
40.47244892, -86.99420447, 10.0
40.47244181, -86.99420314, 10.0
40.47250725, -86.99359840, 10.0
40.47250014, -86.99359707, 10.0
40.47243469, -86.99420181, 10.0
40.47242758, -86.99420048, 10.0
40.47249302, -86.99359574, 10.0
40.47248591, -86.99359441, 10.0
40.47242046, -86.99419915, 10.0
40.47241335, -86.99419782, 10.0
40.47247879, -86.99359308, 10.0
40.47247168, -86.99359175, 10.0
40.47240623, -86.99419649, 10.0
40.47239912, -86.99419516, 10.0
40.47246456, -86.99359042, 10.0
40.47245745, -86.99358909, 10.0
40.47239200, -86.99419383, 10.0
40.47238489, -86.99419250, 10.0
40.47245033, -86.99358776, 10.0
40.47244322, -86.99358643, 10.0
40.47237777, -86.99419117, 10.0
40.47237066, -86.99418984, 10.0
40.47243610, -86.99358510, 10.0
40.47242899, -86.99358377, 10.0
40.47236457, -86.99418870, 10.0</t>
  </si>
  <si>
    <t>0.027976</t>
  </si>
  <si>
    <t>Covered Diagonally a larger field</t>
  </si>
  <si>
    <t>naive-5.4-reason-none-run3</t>
  </si>
  <si>
    <t>2026-03-07T19:01:02.901883</t>
  </si>
  <si>
    <t>[cache-bust: 1yCTEsNzK62JoP]
You are a UAV flight planning assistant.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</si>
  <si>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40.472427000000, -86.994200369836, 10
40.472559322541, -86.993608138366, 10
40.472532940033, -86.993608110693, 10
40.472400617492, -86.994200342162, 10
40.472374234983, -86.994200314489, 10
40.472506557525, -86.993608083019, 10
40.472480175016, -86.993608055346, 10
40.472347852475, -86.994200286815, 10
40.472321469966, -86.994200259143, 10
40.472453792508, -86.993608027672, 10
40.472427410000, -86.993608000000, 10</t>
  </si>
  <si>
    <t>0.003615</t>
  </si>
  <si>
    <t>naive-5.2-reason-none-run4</t>
  </si>
  <si>
    <t>2026-03-07T19:01:05.402381</t>
  </si>
  <si>
    <t>[cache-bust: C1SDZyX335afwk]
You are a UAV flight planning assistant.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</si>
  <si>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40.472427000000, -86.994200369836, 10
40.472559322541, -86.993608138366, 10
40.472427413383, -86.993607999999, 10
40.472559000000, -86.993858062927, 10
40.472427000000, -86.994200369836, 10
40.472559322541, -86.993608138366, 10
40.472427413383, -86.993607999999, 10
40.472559000000, -86.993858062927, 10</t>
  </si>
  <si>
    <t>0.002476</t>
  </si>
  <si>
    <t>naive-5.2-reason-high-run4</t>
  </si>
  <si>
    <t>2026-03-07T19:02:04.799395</t>
  </si>
  <si>
    <t>[cache-bust: cQBdU67A4jClpf]
You are a UAV flight planning assistant.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</si>
  <si>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40.47242700000 -86.99420036983601 10
40.47242700000 -86.99360799999999 10
40.47243418652 -86.99360799999999 10
40.47243418652 -86.99420036983601 10
40.47244137304 -86.99420036983601 10
40.47244137304 -86.99360799999999 10
40.47244855957 -86.99360799999999 10
40.47244855957 -86.99420036983601 10
40.47245574609 -86.99420036983601 10
40.47245574609 -86.99360799999999 10
40.47246293261 -86.99360799999999 10
40.47246293261 -86.99420036983601 10
40.47247011913 -86.99420036983601 10
40.47247011913 -86.99360799999999 10
40.47247730566 -86.99360799999999 10
40.47247730566 -86.99420036983601 10
40.47248449218 -86.99420036983601 10
40.47248449218 -86.99360799999999 10
40.47249167870 -86.99360799999999 10
40.47249167870 -86.99420036983601 10
40.47249886522 -86.99420036983601 10
40.47249886522 -86.99360799999999 10
40.47250605175 -86.99360799999999 10
40.47250605175 -86.99420036983601 10
40.47251323827 -86.99420036983601 10
40.47251323827 -86.99360799999999 10
40.47252042479 -86.99360799999999 10
40.47252042479 -86.99420036983601 10
40.47252761131 -86.99420036983601 10
40.47252761131 -86.99360799999999 10
40.47253479783 -86.99360799999999 10
40.47253479783 -86.99420036983601 10
40.47254198436 -86.99420036983601 10
40.47254198436 -86.99360799999999 10
40.47254917088 -86.99360799999999 10
40.47254917088 -86.99420036983601 10
40.47255635740 -86.99420036983601 10
40.47255635740 -86.99360799999999 10
40.47255932254 -86.99360799999999 10
40.47255932254 -86.99420036983601 10</t>
  </si>
  <si>
    <t>0.064036</t>
  </si>
  <si>
    <t>Covers larger field</t>
  </si>
  <si>
    <t>smart-5.2-code-interpreter-run4</t>
  </si>
  <si>
    <t>2026-03-07T19:03:00.013171</t>
  </si>
  <si>
    <t>[cache-bust: VLJR5NUZsngecE]
You are a UAV flight planning assistant. **Use the code interpreter tool to compute the flight plan.**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</si>
  <si>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40.472427000000, -86.994200369836, 10
40.472427000000, -86.993608000000, 10
40.472434204285, -86.993608000000, 10
40.472434204285, -86.994200369836, 10
40.472441408570, -86.994200369836, 10
40.472441408570, -86.993608000000, 10
40.472448612855, -86.993608000000, 10
40.472448612855, -86.994200369836, 10
40.472455817140, -86.994200369836, 10
40.472455817140, -86.993608000000, 10
40.472463021425, -86.993608000000, 10
40.472463021425, -86.994200369836, 10
40.472470225710, -86.994200369836, 10
40.472470225710, -86.993608000000, 10
40.472477429995, -86.993608000000, 10
40.472477429995, -86.994200369836, 10
40.472484634280, -86.994200369836, 10
40.472484634280, -86.993608000000, 10
40.472491838565, -86.993608000000, 10
40.472491838565, -86.994200369836, 10
40.472499042850, -86.994200369836, 10
40.472499042850, -86.993608000000, 10
40.472506247135, -86.993608000000, 10
40.472506247135, -86.994200369836, 10
40.472513451420, -86.994200369836, 10
40.472513451420, -86.993608000000, 10
40.472520655705, -86.993608000000, 10
40.472520655705, -86.994200369836, 10
40.472527859990, -86.994200369836, 10
40.472527859990, -86.993608000000, 10
40.472535064275, -86.993608000000, 10
40.472535064275, -86.994200369836, 10
40.472542268560, -86.994200369836, 10
40.472542268560, -86.993608000000, 10
40.472549472845, -86.993608000000, 10
40.472549472845, -86.994200369836, 10
40.472556677130, -86.994200369836, 10
40.472556677130, -86.993608000000, 10
40.472559322541, -86.993608000000, 10
40.472559322541, -86.994200369836, 10</t>
  </si>
  <si>
    <t>0.023802</t>
  </si>
  <si>
    <t>naive-5.4-reason-none-run4</t>
  </si>
  <si>
    <t>2026-03-07T19:03:06.057737</t>
  </si>
  <si>
    <t>[cache-bust: s6kGzob0GE2f92]
You are a UAV flight planning assistant. Generate a UAV flight plan that fully covers a rectangular plot defined by four corner coordinates.
The input will provide four corner coordinates (latitude, longitude), flight altitude (meters), image width (meters), and overlap percentage.
Compute a set of ordered flight waypoints that cover the entire area using a lawnmower (back-and-forth) pattern.
Output requirements:
Output only plain text.
No explanations.
Provide ordered waypoints covering the area.
Each waypoint must contain: latitude, longitude, altitude.
altitude: 10m
image width: 4m
overlap: 80
coordinates:
{"lat": 40.472427, "lng": -86.99420036983601},
{"lat": 40.47255932254134, "lng": -86.99360813836627},
{"lat": 40.472427413383, "lng": -86.99360799999999},
{"lat": 40.472559, "lng": -86.99385806292733},</t>
  </si>
  <si>
    <t>40.472427000000, -86.994200369836, 10
40.472559322541, -86.993608138366, 10
40.472541251300, -86.993607999999, 10
40.472408928759, -86.994200231469, 10
40.472390857517, -86.994200093102, 10
40.472523180058, -86.993607861633, 10
40.472505108817, -86.993607723266, 10
40.472372786276, -86.994199954735, 10
40.472354715034, -86.994199816368, 10
40.472487037575, -86.993607584899, 10
40.472468966334, -86.993607446532, 10
40.472336643793, -86.994199678001, 10
40.472318572551, -86.994199539634, 10
40.472450895092, -86.993607308165, 10
40.472432823851, -86.993607169798, 10
40.472300501310, -86.994199401267, 10
40.472282430068, -86.994199262900, 10
40.472414752609, -86.993607031431, 10</t>
  </si>
  <si>
    <t>0.005507</t>
  </si>
  <si>
    <t>AND Result</t>
  </si>
  <si>
    <t>Turn #</t>
  </si>
  <si>
    <t>Date</t>
  </si>
  <si>
    <t>User Request</t>
  </si>
  <si>
    <t>Action Taken</t>
  </si>
  <si>
    <t>Details</t>
  </si>
  <si>
    <t>Outcome</t>
  </si>
  <si>
    <t>Create an AND operation for three selected columns (L, M, N) in the Chat log sheet.</t>
  </si>
  <si>
    <t>Added AND formula in column P (rows 4–19) combining columns L (Direction), M (Overlap), and N (Coverage).</t>
  </si>
  <si>
    <t>Used =AND(L4,M4,N4) in P4 and copied down to P19. Added 'AND Result' bold header in P1. Columns L/M/N contain binary 0/1 values. Column O (Waypoints) was already occupied, so P was chosen.</t>
  </si>
  <si>
    <t>Column P now shows TRUE/FALSE for each row where all three of Direction, Overlap, and Coverage are 1 (TRUE).</t>
  </si>
  <si>
    <t>RUN</t>
  </si>
  <si>
    <t>GPT</t>
  </si>
  <si>
    <t>REASON</t>
  </si>
  <si>
    <t>Populate K2 and L2 from A2 (GPT version = 5.2, REASON = none), then apply same extraction to all rows.</t>
  </si>
  <si>
    <t>Wrote MID/FIND formulas in K2:L2, then copied down to K2:L19 for all 18 data rows.</t>
  </si>
  <si>
    <t>K = GPT version: =MID(A2,FIND("-",A2)+1,FIND("-",A2,FIND("-",A2)+1)-FIND("-",A2)-1). L = REASON: =IF(ISNUMBER(FIND("reason-",A2)),MID(...),...,"code-interpreter"). Handles 3 variants: naive (reason-none), naive (reason-high), smart (code-interpreter).</t>
  </si>
  <si>
    <t>K2:K19 populated with GPT version (5.2 or 5.4). L2:L19 populated with reason (none, high, or code-interpreter). All 18 rows verified correct.</t>
  </si>
  <si>
    <t>5.2 reason</t>
  </si>
  <si>
    <t>5.2 code</t>
  </si>
  <si>
    <t>2 extremely dangerous</t>
  </si>
  <si>
    <t>2 covers larger area</t>
  </si>
  <si>
    <t>1 perfect run</t>
  </si>
  <si>
    <t>3 larger area</t>
  </si>
  <si>
    <t>covers larger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</si>
</sst>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14" fontId="0" fillId="0" borderId="0" xfId="0" applyNumberFormat="1"/>
    <xf numFmtId="0" fontId="3" fillId="0" borderId="0" xfId="0" applyFont="1"/>
    <xf numFmtId="0" fontId="0" fillId="0" borderId="0" xfId="0" applyAlignment="1">
      <alignment horizontal="center"/>
    </xf>
    <xf numFmtId="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5DED8FF-1C91-C641-8481-F247C9E509E8}">
  <we:reference id="wa200009404" version="1.0.0.8" store="en-US" storeType="OMEX"/>
  <we:alternateReferences>
    <we:reference id="wa200009404" version="1.0.0.8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6C1DB-4119-0C41-A98F-18DFCA6939F5}">
  <dimension ref="A1:F3"/>
  <sheetViews>
    <sheetView workbookViewId="0">
      <selection activeCell="P8" sqref="P8"/>
    </sheetView>
  </sheetViews>
  <sheetFormatPr baseColWidth="10" defaultRowHeight="15" x14ac:dyDescent="0.2"/>
  <cols>
    <col min="1" max="6" width="26.6640625" customWidth="1"/>
  </cols>
  <sheetData>
    <row r="1" spans="1:6" x14ac:dyDescent="0.2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2" t="s">
        <v>106</v>
      </c>
    </row>
    <row r="2" spans="1:6" x14ac:dyDescent="0.2">
      <c r="A2">
        <v>1</v>
      </c>
      <c r="B2" s="3">
        <v>46092</v>
      </c>
      <c r="C2" t="s">
        <v>107</v>
      </c>
      <c r="D2" t="s">
        <v>108</v>
      </c>
      <c r="E2" t="s">
        <v>109</v>
      </c>
      <c r="F2" t="s">
        <v>110</v>
      </c>
    </row>
    <row r="3" spans="1:6" x14ac:dyDescent="0.2">
      <c r="A3">
        <v>2</v>
      </c>
      <c r="B3" s="3">
        <v>46092</v>
      </c>
      <c r="C3" t="s">
        <v>114</v>
      </c>
      <c r="D3" t="s">
        <v>115</v>
      </c>
      <c r="E3" t="s">
        <v>116</v>
      </c>
      <c r="F3" t="s">
        <v>117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9"/>
  <sheetViews>
    <sheetView tabSelected="1" workbookViewId="0">
      <selection activeCell="K24" sqref="K24"/>
    </sheetView>
  </sheetViews>
  <sheetFormatPr baseColWidth="10" defaultColWidth="8.83203125" defaultRowHeight="15" x14ac:dyDescent="0.2"/>
  <cols>
    <col min="1" max="1" width="31.1640625" customWidth="1"/>
    <col min="12" max="12" width="19.6640625" customWidth="1"/>
  </cols>
  <sheetData>
    <row r="1" spans="1:2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111</v>
      </c>
      <c r="K1" t="s">
        <v>112</v>
      </c>
      <c r="L1" t="s">
        <v>113</v>
      </c>
      <c r="M1" t="s">
        <v>9</v>
      </c>
      <c r="N1" t="s">
        <v>10</v>
      </c>
      <c r="O1" t="s">
        <v>11</v>
      </c>
      <c r="P1" t="s">
        <v>12</v>
      </c>
      <c r="Q1" s="1" t="s">
        <v>100</v>
      </c>
      <c r="S1" t="s">
        <v>13</v>
      </c>
      <c r="T1" t="s">
        <v>14</v>
      </c>
    </row>
    <row r="2" spans="1:20" x14ac:dyDescent="0.2">
      <c r="A2" t="s">
        <v>15</v>
      </c>
      <c r="B2" t="s">
        <v>17</v>
      </c>
      <c r="C2" t="s">
        <v>18</v>
      </c>
      <c r="D2" t="s">
        <v>19</v>
      </c>
      <c r="E2">
        <v>239</v>
      </c>
      <c r="F2">
        <v>111</v>
      </c>
      <c r="G2" t="s">
        <v>20</v>
      </c>
      <c r="H2">
        <v>2.19</v>
      </c>
      <c r="J2" t="str">
        <f t="shared" ref="J2:J18" si="0">RIGHT(A2)</f>
        <v>1</v>
      </c>
      <c r="K2" s="4" t="str">
        <f t="shared" ref="K2:K17" si="1">MID(A2,FIND("-",A2)+1,FIND("-",A2,FIND("-",A2)+1)-FIND("-",A2)-1)</f>
        <v>5.2</v>
      </c>
      <c r="L2" s="4" t="str">
        <f t="shared" ref="L2:L17" si="2">IF(ISNUMBER(FIND("reason-",A2)),MID(A2,FIND("reason-",A2)+7,FIND("-",A2,FIND("reason-",A2)+7)-FIND("reason-",A2)-7),"code-interpreter")</f>
        <v>none</v>
      </c>
      <c r="M2">
        <v>0</v>
      </c>
      <c r="N2">
        <v>0</v>
      </c>
      <c r="O2">
        <v>0</v>
      </c>
      <c r="P2">
        <v>6</v>
      </c>
      <c r="Q2" t="b">
        <f>AND(M2,N2,O2)</f>
        <v>0</v>
      </c>
      <c r="S2">
        <v>1</v>
      </c>
    </row>
    <row r="3" spans="1:20" x14ac:dyDescent="0.2">
      <c r="A3" t="s">
        <v>16</v>
      </c>
      <c r="B3" t="s">
        <v>21</v>
      </c>
      <c r="C3" t="s">
        <v>22</v>
      </c>
      <c r="D3" t="s">
        <v>23</v>
      </c>
      <c r="E3">
        <v>243</v>
      </c>
      <c r="F3">
        <v>6962</v>
      </c>
      <c r="G3" t="s">
        <v>24</v>
      </c>
      <c r="H3">
        <v>107.35</v>
      </c>
      <c r="J3" t="str">
        <f t="shared" si="0"/>
        <v>1</v>
      </c>
      <c r="K3" s="4" t="str">
        <f t="shared" si="1"/>
        <v>5.2</v>
      </c>
      <c r="L3" s="4" t="str">
        <f t="shared" si="2"/>
        <v>high</v>
      </c>
      <c r="M3">
        <v>1</v>
      </c>
      <c r="N3">
        <v>1</v>
      </c>
      <c r="O3">
        <v>1</v>
      </c>
      <c r="P3">
        <v>40</v>
      </c>
      <c r="Q3" t="b">
        <f t="shared" ref="Q3:Q17" si="3">AND(M3,N3,O3)</f>
        <v>1</v>
      </c>
      <c r="S3">
        <v>1</v>
      </c>
      <c r="T3" t="s">
        <v>67</v>
      </c>
    </row>
    <row r="4" spans="1:20" x14ac:dyDescent="0.2">
      <c r="A4" t="s">
        <v>25</v>
      </c>
      <c r="B4" t="s">
        <v>26</v>
      </c>
      <c r="C4" t="s">
        <v>27</v>
      </c>
      <c r="D4" t="s">
        <v>28</v>
      </c>
      <c r="E4">
        <v>2884</v>
      </c>
      <c r="F4">
        <v>1624</v>
      </c>
      <c r="G4" t="s">
        <v>29</v>
      </c>
      <c r="H4">
        <v>68.400000000000006</v>
      </c>
      <c r="J4" t="str">
        <f t="shared" si="0"/>
        <v>1</v>
      </c>
      <c r="K4" s="4" t="str">
        <f t="shared" si="1"/>
        <v>5.2</v>
      </c>
      <c r="L4" s="4" t="str">
        <f t="shared" si="2"/>
        <v>code-interpreter</v>
      </c>
      <c r="M4">
        <v>0</v>
      </c>
      <c r="N4">
        <v>0</v>
      </c>
      <c r="O4">
        <v>0</v>
      </c>
      <c r="P4">
        <v>42</v>
      </c>
      <c r="Q4" t="b">
        <f t="shared" si="3"/>
        <v>0</v>
      </c>
      <c r="S4">
        <v>1</v>
      </c>
      <c r="T4" t="s">
        <v>30</v>
      </c>
    </row>
    <row r="5" spans="1:20" x14ac:dyDescent="0.2">
      <c r="A5" t="s">
        <v>31</v>
      </c>
      <c r="B5" t="s">
        <v>32</v>
      </c>
      <c r="C5" t="s">
        <v>33</v>
      </c>
      <c r="D5" t="s">
        <v>34</v>
      </c>
      <c r="E5">
        <v>241</v>
      </c>
      <c r="F5">
        <v>3187</v>
      </c>
      <c r="G5" t="s">
        <v>35</v>
      </c>
      <c r="H5">
        <v>33.369999999999997</v>
      </c>
      <c r="J5" t="str">
        <f t="shared" si="0"/>
        <v>1</v>
      </c>
      <c r="K5" s="4" t="str">
        <f t="shared" si="1"/>
        <v>5.4</v>
      </c>
      <c r="L5" s="4" t="str">
        <f t="shared" si="2"/>
        <v>none</v>
      </c>
      <c r="M5">
        <v>0</v>
      </c>
      <c r="N5">
        <v>0</v>
      </c>
      <c r="O5">
        <v>0</v>
      </c>
      <c r="P5">
        <v>199</v>
      </c>
      <c r="Q5" t="b">
        <f t="shared" si="3"/>
        <v>0</v>
      </c>
      <c r="S5">
        <v>1</v>
      </c>
      <c r="T5" t="s">
        <v>30</v>
      </c>
    </row>
    <row r="6" spans="1:20" x14ac:dyDescent="0.2">
      <c r="A6" t="s">
        <v>36</v>
      </c>
      <c r="B6" t="s">
        <v>37</v>
      </c>
      <c r="C6" t="s">
        <v>38</v>
      </c>
      <c r="D6" t="s">
        <v>39</v>
      </c>
      <c r="E6">
        <v>240</v>
      </c>
      <c r="F6">
        <v>795</v>
      </c>
      <c r="G6" t="s">
        <v>40</v>
      </c>
      <c r="H6">
        <v>9.2899999999999991</v>
      </c>
      <c r="J6" t="str">
        <f t="shared" si="0"/>
        <v>2</v>
      </c>
      <c r="K6" s="4" t="str">
        <f t="shared" si="1"/>
        <v>5.2</v>
      </c>
      <c r="L6" s="4" t="str">
        <f t="shared" si="2"/>
        <v>none</v>
      </c>
      <c r="M6">
        <v>1</v>
      </c>
      <c r="N6">
        <v>1</v>
      </c>
      <c r="O6">
        <v>1</v>
      </c>
      <c r="P6">
        <v>40</v>
      </c>
      <c r="Q6" t="b">
        <f t="shared" si="3"/>
        <v>1</v>
      </c>
      <c r="S6">
        <v>1</v>
      </c>
    </row>
    <row r="7" spans="1:20" x14ac:dyDescent="0.2">
      <c r="A7" t="s">
        <v>41</v>
      </c>
      <c r="B7" t="s">
        <v>42</v>
      </c>
      <c r="C7" t="s">
        <v>43</v>
      </c>
      <c r="D7" t="s">
        <v>44</v>
      </c>
      <c r="E7">
        <v>241</v>
      </c>
      <c r="F7">
        <v>7374</v>
      </c>
      <c r="G7" t="s">
        <v>45</v>
      </c>
      <c r="H7">
        <v>99.61</v>
      </c>
      <c r="J7" t="str">
        <f t="shared" si="0"/>
        <v>2</v>
      </c>
      <c r="K7" s="4" t="str">
        <f t="shared" si="1"/>
        <v>5.2</v>
      </c>
      <c r="L7" s="4" t="str">
        <f t="shared" si="2"/>
        <v>high</v>
      </c>
      <c r="M7">
        <v>1</v>
      </c>
      <c r="N7">
        <v>1</v>
      </c>
      <c r="O7">
        <v>1</v>
      </c>
      <c r="P7">
        <v>40</v>
      </c>
      <c r="Q7" t="b">
        <f t="shared" si="3"/>
        <v>1</v>
      </c>
      <c r="S7">
        <v>1</v>
      </c>
      <c r="T7" t="s">
        <v>46</v>
      </c>
    </row>
    <row r="8" spans="1:20" x14ac:dyDescent="0.2">
      <c r="A8" t="s">
        <v>47</v>
      </c>
      <c r="B8" t="s">
        <v>48</v>
      </c>
      <c r="C8" t="s">
        <v>49</v>
      </c>
      <c r="D8" t="s">
        <v>50</v>
      </c>
      <c r="E8">
        <v>3420</v>
      </c>
      <c r="F8">
        <v>2032</v>
      </c>
      <c r="G8" t="s">
        <v>51</v>
      </c>
      <c r="H8">
        <v>64.650000000000006</v>
      </c>
      <c r="J8" t="str">
        <f t="shared" si="0"/>
        <v>2</v>
      </c>
      <c r="K8" s="4" t="str">
        <f t="shared" si="1"/>
        <v>5.2</v>
      </c>
      <c r="L8" s="4" t="str">
        <f t="shared" si="2"/>
        <v>code-interpreter</v>
      </c>
      <c r="M8">
        <v>0</v>
      </c>
      <c r="N8">
        <v>0</v>
      </c>
      <c r="O8">
        <v>0</v>
      </c>
      <c r="P8">
        <v>46</v>
      </c>
      <c r="Q8" t="b">
        <f t="shared" si="3"/>
        <v>0</v>
      </c>
      <c r="S8">
        <v>1</v>
      </c>
      <c r="T8" t="s">
        <v>30</v>
      </c>
    </row>
    <row r="9" spans="1:20" x14ac:dyDescent="0.2">
      <c r="A9" t="s">
        <v>52</v>
      </c>
      <c r="B9" t="s">
        <v>53</v>
      </c>
      <c r="C9" t="s">
        <v>54</v>
      </c>
      <c r="D9" t="s">
        <v>55</v>
      </c>
      <c r="E9">
        <v>240</v>
      </c>
      <c r="F9">
        <v>651</v>
      </c>
      <c r="G9" t="s">
        <v>56</v>
      </c>
      <c r="H9">
        <v>11.93</v>
      </c>
      <c r="J9" t="str">
        <f t="shared" si="0"/>
        <v>2</v>
      </c>
      <c r="K9" s="4" t="str">
        <f t="shared" si="1"/>
        <v>5.4</v>
      </c>
      <c r="L9" s="4" t="str">
        <f t="shared" si="2"/>
        <v>none</v>
      </c>
      <c r="M9">
        <v>0</v>
      </c>
      <c r="N9">
        <v>0</v>
      </c>
      <c r="O9">
        <v>0</v>
      </c>
      <c r="P9">
        <v>36</v>
      </c>
      <c r="Q9" t="b">
        <f t="shared" si="3"/>
        <v>0</v>
      </c>
      <c r="S9">
        <v>1</v>
      </c>
      <c r="T9" t="s">
        <v>30</v>
      </c>
    </row>
    <row r="10" spans="1:20" x14ac:dyDescent="0.2">
      <c r="A10" t="s">
        <v>57</v>
      </c>
      <c r="B10" t="s">
        <v>58</v>
      </c>
      <c r="C10" t="s">
        <v>59</v>
      </c>
      <c r="D10" t="s">
        <v>60</v>
      </c>
      <c r="E10">
        <v>242</v>
      </c>
      <c r="F10">
        <v>2595</v>
      </c>
      <c r="G10" t="s">
        <v>61</v>
      </c>
      <c r="H10">
        <v>25.01</v>
      </c>
      <c r="J10" t="str">
        <f t="shared" si="0"/>
        <v>3</v>
      </c>
      <c r="K10" s="4" t="str">
        <f t="shared" si="1"/>
        <v>5.2</v>
      </c>
      <c r="L10" s="4" t="str">
        <f t="shared" si="2"/>
        <v>none</v>
      </c>
      <c r="M10">
        <v>0</v>
      </c>
      <c r="N10">
        <v>0</v>
      </c>
      <c r="O10">
        <v>0</v>
      </c>
      <c r="P10">
        <v>144</v>
      </c>
      <c r="Q10" t="b">
        <f t="shared" si="3"/>
        <v>0</v>
      </c>
      <c r="S10">
        <v>1</v>
      </c>
    </row>
    <row r="11" spans="1:20" x14ac:dyDescent="0.2">
      <c r="A11" t="s">
        <v>62</v>
      </c>
      <c r="B11" t="s">
        <v>63</v>
      </c>
      <c r="C11" t="s">
        <v>64</v>
      </c>
      <c r="D11" t="s">
        <v>65</v>
      </c>
      <c r="E11">
        <v>241</v>
      </c>
      <c r="F11">
        <v>5448</v>
      </c>
      <c r="G11" t="s">
        <v>66</v>
      </c>
      <c r="H11">
        <v>75.34</v>
      </c>
      <c r="J11" t="str">
        <f t="shared" si="0"/>
        <v>3</v>
      </c>
      <c r="K11" s="4" t="str">
        <f t="shared" si="1"/>
        <v>5.2</v>
      </c>
      <c r="L11" s="4" t="str">
        <f t="shared" si="2"/>
        <v>high</v>
      </c>
      <c r="M11">
        <v>1</v>
      </c>
      <c r="N11">
        <v>1</v>
      </c>
      <c r="O11">
        <v>1</v>
      </c>
      <c r="P11">
        <v>40</v>
      </c>
      <c r="Q11" t="b">
        <f t="shared" si="3"/>
        <v>1</v>
      </c>
      <c r="S11">
        <v>1</v>
      </c>
      <c r="T11" t="s">
        <v>67</v>
      </c>
    </row>
    <row r="12" spans="1:20" x14ac:dyDescent="0.2">
      <c r="A12" t="s">
        <v>68</v>
      </c>
      <c r="B12" t="s">
        <v>69</v>
      </c>
      <c r="C12" t="s">
        <v>70</v>
      </c>
      <c r="D12" t="s">
        <v>71</v>
      </c>
      <c r="E12">
        <v>2930</v>
      </c>
      <c r="F12">
        <v>1632</v>
      </c>
      <c r="G12" t="s">
        <v>72</v>
      </c>
      <c r="H12">
        <v>64.760000000000005</v>
      </c>
      <c r="J12" t="str">
        <f t="shared" si="0"/>
        <v>3</v>
      </c>
      <c r="K12" s="4" t="str">
        <f t="shared" si="1"/>
        <v>5.2</v>
      </c>
      <c r="L12" s="4" t="str">
        <f t="shared" si="2"/>
        <v>code-interpreter</v>
      </c>
      <c r="M12">
        <v>1</v>
      </c>
      <c r="N12">
        <v>1</v>
      </c>
      <c r="O12">
        <v>1</v>
      </c>
      <c r="P12">
        <v>46</v>
      </c>
      <c r="Q12" t="b">
        <f t="shared" si="3"/>
        <v>1</v>
      </c>
      <c r="S12">
        <v>1</v>
      </c>
      <c r="T12" t="s">
        <v>73</v>
      </c>
    </row>
    <row r="13" spans="1:20" x14ac:dyDescent="0.2">
      <c r="A13" t="s">
        <v>74</v>
      </c>
      <c r="B13" t="s">
        <v>75</v>
      </c>
      <c r="C13" t="s">
        <v>76</v>
      </c>
      <c r="D13" t="s">
        <v>77</v>
      </c>
      <c r="E13">
        <v>240</v>
      </c>
      <c r="F13">
        <v>201</v>
      </c>
      <c r="G13" t="s">
        <v>78</v>
      </c>
      <c r="H13">
        <v>5.12</v>
      </c>
      <c r="J13" t="str">
        <f t="shared" si="0"/>
        <v>3</v>
      </c>
      <c r="K13" s="4" t="str">
        <f t="shared" si="1"/>
        <v>5.4</v>
      </c>
      <c r="L13" s="4" t="str">
        <f t="shared" si="2"/>
        <v>none</v>
      </c>
      <c r="M13">
        <v>0</v>
      </c>
      <c r="N13">
        <v>0</v>
      </c>
      <c r="O13">
        <v>0</v>
      </c>
      <c r="P13">
        <v>11</v>
      </c>
      <c r="Q13" t="b">
        <f t="shared" si="3"/>
        <v>0</v>
      </c>
      <c r="S13">
        <v>1</v>
      </c>
    </row>
    <row r="14" spans="1:20" x14ac:dyDescent="0.2">
      <c r="A14" t="s">
        <v>79</v>
      </c>
      <c r="B14" t="s">
        <v>80</v>
      </c>
      <c r="C14" t="s">
        <v>81</v>
      </c>
      <c r="D14" t="s">
        <v>82</v>
      </c>
      <c r="E14">
        <v>239</v>
      </c>
      <c r="F14">
        <v>147</v>
      </c>
      <c r="G14" t="s">
        <v>83</v>
      </c>
      <c r="H14">
        <v>2.48</v>
      </c>
      <c r="J14" t="str">
        <f t="shared" si="0"/>
        <v>4</v>
      </c>
      <c r="K14" s="4" t="str">
        <f t="shared" si="1"/>
        <v>5.2</v>
      </c>
      <c r="L14" s="4" t="str">
        <f t="shared" si="2"/>
        <v>none</v>
      </c>
      <c r="M14">
        <v>0</v>
      </c>
      <c r="N14">
        <v>0</v>
      </c>
      <c r="O14">
        <v>0</v>
      </c>
      <c r="P14">
        <v>8</v>
      </c>
      <c r="Q14" t="b">
        <f t="shared" si="3"/>
        <v>0</v>
      </c>
      <c r="S14">
        <v>1</v>
      </c>
    </row>
    <row r="15" spans="1:20" x14ac:dyDescent="0.2">
      <c r="A15" t="s">
        <v>84</v>
      </c>
      <c r="B15" t="s">
        <v>85</v>
      </c>
      <c r="C15" t="s">
        <v>86</v>
      </c>
      <c r="D15" t="s">
        <v>87</v>
      </c>
      <c r="E15">
        <v>240</v>
      </c>
      <c r="F15">
        <v>4544</v>
      </c>
      <c r="G15" t="s">
        <v>88</v>
      </c>
      <c r="H15">
        <v>59.38</v>
      </c>
      <c r="J15" t="str">
        <f t="shared" si="0"/>
        <v>4</v>
      </c>
      <c r="K15" s="4" t="str">
        <f t="shared" si="1"/>
        <v>5.2</v>
      </c>
      <c r="L15" s="4" t="str">
        <f t="shared" si="2"/>
        <v>high</v>
      </c>
      <c r="M15">
        <v>1</v>
      </c>
      <c r="N15">
        <v>1</v>
      </c>
      <c r="O15">
        <v>1</v>
      </c>
      <c r="P15">
        <v>46</v>
      </c>
      <c r="Q15" t="b">
        <f t="shared" si="3"/>
        <v>1</v>
      </c>
      <c r="S15">
        <v>1</v>
      </c>
      <c r="T15" t="s">
        <v>89</v>
      </c>
    </row>
    <row r="16" spans="1:20" x14ac:dyDescent="0.2">
      <c r="A16" t="s">
        <v>90</v>
      </c>
      <c r="B16" t="s">
        <v>91</v>
      </c>
      <c r="C16" t="s">
        <v>92</v>
      </c>
      <c r="D16" t="s">
        <v>93</v>
      </c>
      <c r="E16">
        <v>2481</v>
      </c>
      <c r="F16">
        <v>1390</v>
      </c>
      <c r="G16" t="s">
        <v>94</v>
      </c>
      <c r="H16">
        <v>55.2</v>
      </c>
      <c r="J16" t="str">
        <f t="shared" si="0"/>
        <v>4</v>
      </c>
      <c r="K16" s="4" t="str">
        <f t="shared" si="1"/>
        <v>5.2</v>
      </c>
      <c r="L16" s="4" t="str">
        <f t="shared" si="2"/>
        <v>code-interpreter</v>
      </c>
      <c r="M16">
        <v>1</v>
      </c>
      <c r="N16">
        <v>1</v>
      </c>
      <c r="O16">
        <v>1</v>
      </c>
      <c r="P16">
        <v>40</v>
      </c>
      <c r="Q16" t="b">
        <f t="shared" si="3"/>
        <v>1</v>
      </c>
      <c r="S16">
        <v>1</v>
      </c>
      <c r="T16" t="s">
        <v>89</v>
      </c>
    </row>
    <row r="17" spans="1:19" x14ac:dyDescent="0.2">
      <c r="A17" t="s">
        <v>95</v>
      </c>
      <c r="B17" t="s">
        <v>96</v>
      </c>
      <c r="C17" t="s">
        <v>97</v>
      </c>
      <c r="D17" t="s">
        <v>98</v>
      </c>
      <c r="E17">
        <v>241</v>
      </c>
      <c r="F17">
        <v>327</v>
      </c>
      <c r="G17" t="s">
        <v>99</v>
      </c>
      <c r="H17">
        <v>6.03</v>
      </c>
      <c r="J17" t="str">
        <f t="shared" si="0"/>
        <v>4</v>
      </c>
      <c r="K17" s="4" t="str">
        <f t="shared" si="1"/>
        <v>5.4</v>
      </c>
      <c r="L17" s="4" t="str">
        <f t="shared" si="2"/>
        <v>none</v>
      </c>
      <c r="M17">
        <v>0</v>
      </c>
      <c r="N17">
        <v>0</v>
      </c>
      <c r="O17">
        <v>0</v>
      </c>
      <c r="P17">
        <v>18</v>
      </c>
      <c r="Q17" t="b">
        <f t="shared" si="3"/>
        <v>0</v>
      </c>
      <c r="S17">
        <v>1</v>
      </c>
    </row>
    <row r="18" spans="1:19" x14ac:dyDescent="0.2">
      <c r="J18" t="str">
        <f t="shared" si="0"/>
        <v/>
      </c>
    </row>
    <row r="26" spans="1:19" x14ac:dyDescent="0.2">
      <c r="L26" s="5">
        <v>5.2</v>
      </c>
      <c r="M26" s="6">
        <v>0.25</v>
      </c>
      <c r="O26" t="s">
        <v>124</v>
      </c>
    </row>
    <row r="27" spans="1:19" x14ac:dyDescent="0.2">
      <c r="L27" s="5">
        <v>5.4</v>
      </c>
      <c r="M27" s="6">
        <v>0</v>
      </c>
    </row>
    <row r="28" spans="1:19" x14ac:dyDescent="0.2">
      <c r="L28" s="5" t="s">
        <v>118</v>
      </c>
      <c r="M28" s="6">
        <v>1</v>
      </c>
      <c r="O28" t="s">
        <v>122</v>
      </c>
      <c r="P28" t="s">
        <v>123</v>
      </c>
    </row>
    <row r="29" spans="1:19" x14ac:dyDescent="0.2">
      <c r="L29" s="5" t="s">
        <v>119</v>
      </c>
      <c r="M29" s="6">
        <v>0.5</v>
      </c>
      <c r="O29" t="s">
        <v>120</v>
      </c>
      <c r="P29" t="s">
        <v>121</v>
      </c>
    </row>
  </sheetData>
  <autoFilter ref="A1:T18" xr:uid="{00000000-0001-0000-0000-000000000000}"/>
  <conditionalFormatting sqref="Q2:Q17">
    <cfRule type="cellIs" dxfId="0" priority="1" operator="equal">
      <formula>FALSE</formula>
    </cfRule>
  </conditionalFormatting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Claude Log</vt:lpstr>
      <vt:lpstr>Chat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Varun Aggarwal</cp:lastModifiedBy>
  <dcterms:created xsi:type="dcterms:W3CDTF">2026-03-07T23:48:31Z</dcterms:created>
  <dcterms:modified xsi:type="dcterms:W3CDTF">2026-03-12T01:16:34Z</dcterms:modified>
</cp:coreProperties>
</file>