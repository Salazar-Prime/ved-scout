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varun/Work/ved-scout/000_manual-testing/output/"/>
    </mc:Choice>
  </mc:AlternateContent>
  <xr:revisionPtr revIDLastSave="0" documentId="13_ncr:1_{8294C148-F2F3-B344-929A-7FEC198B390F}" xr6:coauthVersionLast="47" xr6:coauthVersionMax="47" xr10:uidLastSave="{00000000-0000-0000-0000-000000000000}"/>
  <bookViews>
    <workbookView xWindow="0" yWindow="500" windowWidth="38400" windowHeight="19560" xr2:uid="{00000000-000D-0000-FFFF-FFFF00000000}"/>
  </bookViews>
  <sheets>
    <sheet name="Chat log" sheetId="1" r:id="rId1"/>
  </sheets>
  <definedNames>
    <definedName name="_xlnm._FilterDatabase" localSheetId="0" hidden="1">'Chat log'!$A$1:$T$17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2" i="1"/>
  <c r="O13" i="1"/>
  <c r="O14" i="1"/>
  <c r="O11" i="1"/>
  <c r="O15" i="1"/>
  <c r="O16" i="1"/>
  <c r="O17" i="1"/>
  <c r="O2" i="1"/>
</calcChain>
</file>

<file path=xl/sharedStrings.xml><?xml version="1.0" encoding="utf-8"?>
<sst xmlns="http://schemas.openxmlformats.org/spreadsheetml/2006/main" count="133" uniqueCount="87">
  <si>
    <t>Name</t>
  </si>
  <si>
    <t>Timestamp</t>
  </si>
  <si>
    <t>Input</t>
  </si>
  <si>
    <t>Output</t>
  </si>
  <si>
    <t>Input tokens</t>
  </si>
  <si>
    <t>Output tokens</t>
  </si>
  <si>
    <t>Est. cost ($)</t>
  </si>
  <si>
    <t>Time (s)</t>
  </si>
  <si>
    <t>Direction</t>
  </si>
  <si>
    <t>Overlap</t>
  </si>
  <si>
    <t>Coverage</t>
  </si>
  <si>
    <t>Height</t>
  </si>
  <si>
    <t>Waypoints</t>
  </si>
  <si>
    <t>Comments</t>
  </si>
  <si>
    <t>naive-5.2-run1</t>
  </si>
  <si>
    <t>0.004884</t>
  </si>
  <si>
    <t>2026-03-07T17:02:56.731168</t>
  </si>
  <si>
    <t>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</t>
  </si>
  <si>
    <t>40.472647000, -86.994222000, 10
40.472647000, -86.993606000, 10
40.472654200, -86.993606000, 10
40.472654200, -86.994222000, 10
40.472661400, -86.994222000, 10
40.472661400, -86.993606000, 10
40.472668600, -86.993606000, 10
40.472668600, -86.994222000, 10
40.472675800, -86.994222000, 10
40.472675800, -86.993606000, 10
40.472683000, -86.993606000, 10
40.472683000, -86.994222000, 10
40.472690200, -86.994222000, 10
40.472690200, -86.993606000, 10
40.472697400, -86.993606000, 10
40.472697400, -86.994222000, 10
40.472704600, -86.994222000, 10
40.472704600, -86.993606000, 10
40.472710000, -86.993606000, 10
40.472710000, -86.994222000, 10</t>
  </si>
  <si>
    <t>naive-5.2-run2</t>
  </si>
  <si>
    <t>2026-03-07T17:04:41.554398</t>
  </si>
  <si>
    <t>40.472647000, -86.994222000, 10
40.472647000, -86.993606000, 10
40.472647720, -86.993606000, 10
40.472647720, -86.994222000, 10
40.472648440, -86.994222000, 10
40.472648440, -86.993606000, 10
40.472649160, -86.993606000, 10
40.472649160, -86.994222000, 10
40.472649880, -86.994222000, 10
40.472649880, -86.993606000, 10
40.472650600, -86.993606000, 10
40.472650600, -86.994222000, 10
40.472651320, -86.994222000, 10
40.472651320, -86.993606000, 10
40.472652040, -86.993606000, 10
40.472652040, -86.994222000, 10
40.472652760, -86.994222000, 10
40.472652760, -86.993606000, 10
40.472653480, -86.993606000, 10
40.472653480, -86.994222000, 10
40.472654200, -86.994222000, 10
40.472654200, -86.993606000, 10
40.472654920, -86.993606000, 10
40.472654920, -86.994222000, 10
40.472655640, -86.994222000, 10
40.472655640, -86.993606000, 10
40.472656360, -86.993606000, 10
40.472656360, -86.994222000, 10
40.472657080, -86.994222000, 10
40.472657080, -86.993606000, 10
40.472657800, -86.993606000, 10
40.472657800, -86.994222000, 10
40.472658520, -86.994222000, 10
40.472658520, -86.993606000, 10
40.472659240, -86.993606000, 10
40.472659240, -86.994222000, 10
40.472659960, -86.994222000, 10
40.472659960, -86.993606000, 10
40.472660680, -86.993606000, 10
40.472660680, -86.994222000, 10
40.472661400, -86.994222000, 10
40.472661400, -86.993606000, 10
40.472662120, -86.993606000, 10
40.472662120, -86.994222000, 10
40.472662840, -86.994222000, 10
40.472662840, -86.993606000, 10
40.472663560, -86.993606000, 10
40.472663560, -86.994222000, 10
40.472664280, -86.994222000, 10
40.472664280, -86.993606000, 10
40.472665000, -86.993606000, 10
40.472665000, -86.994222000, 10
40.472665720, -86.994222000, 10
40.472665720, -86.993606000, 10
40.472666440, -86.993606000, 10
40.472666440, -86.994222000, 10
40.472667160, -86.994222000, 10
40.472667160, -86.993606000, 10
40.472667880, -86.993606000, 10
40.472667880, -86.994222000, 10
40.472668600, -86.994222000, 10
40.472668600, -86.993606000, 10
40.472669320, -86.993606000, 10
40.472669320, -86.994222000, 10
40.472670040, -86.994222000, 10
40.472670040, -86.993606000, 10
40.472670760, -86.993606000, 10
40.472670760, -86.994222000, 10
40.472671480, -86.994222000, 10
40.472671480, -86.993606000, 10
40.472672200, -86.993606000, 10
40.472672200, -86.994222000, 10
40.472672920, -86.994222000, 10
40.472672920, -86.993606000, 10
40.472673640, -86.993606000, 10
40.472673640, -86.994222000, 10
40.472674360, -86.994222000, 10
40.472674360, -86.993606000, 10
40.472675080, -86.993606000, 10
40.472675080, -86.994222000, 10
40.472675800, -86.994222000, 10
40.472675800, -86.993606000, 10
40.472676520, -86.993606000, 10
40.472676520, -86.994222000, 10
40.472677240, -86.994222000, 10
40.472677240, -86.993606000, 10
40.472677960, -86.993606000, 10
40.472677960, -86.994222000, 10
40.472678680, -86.994222000, 10
40.472678680, -86.993606000, 10
40.472679400, -86.993606000, 10
40.472679400, -86.994222000, 10
40.472680120, -86.994222000, 10
40.472680120, -86.993606000, 10
40.472680840, -86.993606000, 10
40.472680840, -86.994222000, 10
40.472681560, -86.994222000, 10
40.472681560, -86.993606000, 10
40.472682280, -86.993606000, 10
40.472682280, -86.994222000, 10
40.472683000, -86.994222000, 10
40.472683000, -86.993606000, 10
40.472683720, -86.993606000, 10
40.472683720, -86.994222000, 10
40.472684440, -86.994222000, 10
40.472684440, -86.993606000, 10
40.472685160, -86.993606000, 10
40.472685160, -86.994222000, 10
40.472685880, -86.994222000, 10
40.472685880, -86.993606000, 10
40.472686600, -86.993606000, 10
40.472686600, -86.994222000, 10
40.472687320, -86.994222000, 10
40.472687320, -86.993606000, 10
40.472688040, -86.993606000, 10
40.472688040, -86.994222000, 10
40.472688760, -86.994222000, 10
40.472688760, -86.993606000, 10
40.472689480, -86.993606000, 10
40.472689480, -86.994222000, 10
40.472690200, -86.994222000, 10
40.472690200, -86.993606000, 10
40.472690920, -86.993606000, 10
40.472690920, -86.994222000, 10
40.472691640, -86.994222000, 10
40.472691640, -86.993606000, 10
40.472692360, -86.993606000, 10
40.472692360, -86.994222000, 10
40.472693080, -86.994222000, 10
40.472693080, -86.993606000, 10
40.472693800, -86.993606000, 10
40.472693800, -86.994222000, 10
40.472694520, -86.994222000, 10
40.472694520, -86.993606000, 10
40.472695240, -86.993606000, 10
40.472695240, -86.994222000, 10
40.472695960, -86.994222000, 10
40.472695960, -86.993606000, 10
40.472696680, -86.993606000, 10
40.472696680, -86.994222000, 10
40.472697400, -86.994222000, 10
40.472697400, -86.993606000, 10
40.472698120, -86.993606000, 10
40.472698120, -86.994222000, 10
40.472698840, -86.994222000, 10
40.472698840, -86.993606000, 10
40.472699560, -86.993606000, 10
40.472699560, -86.994222000, 10
40.472700280, -86.994222000, 10
40.472700280, -86.993606000, 10
40.472701000, -86.993606000, 10
40.472701000, -86.994222000, 10
40.472701720, -86.994222000, 10
40.472701720, -86.993606000, 10
40.472702440, -86.993606000, 10
40.472702440, -86.994222000, 10
40.472703160, -86.994222000, 10
40.472703160, -86.993606000, 10
40.472703880, -86.993606000, 10
40.472703880, -86.994222000, 10
40.472704600, -86.994222000, 10
40.472704600, -86.993606000, 10
40.472705320, -86.993606000, 10
40.472705320, -86.994222000, 10
40.472706040, -86.994222000, 10
40.472706040, -86.993606000, 10
40.472706760, -86.993606000, 10
40.472706760, -86.994222000, 10
40.472707480, -86.994222000, 10
40.472707480, -86.993606000, 10
40.472708200, -86.993606000, 10
40.472708200, -86.994222000, 10
40.472708920, -86.994222000, 10
40.472708920, -86.993606000, 10
40.472709640, -86.993606000, 10
40.472709640, -86.994222000, 10
40.472710000, -86.994222000, 10
40.472710000, -86.993606000, 10</t>
  </si>
  <si>
    <t>0.040276</t>
  </si>
  <si>
    <t>naive-5.2-run3</t>
  </si>
  <si>
    <t>2026-03-07T17:05:55.190517</t>
  </si>
  <si>
    <t>smartprompt-5.2-run1</t>
  </si>
  <si>
    <t>2026-03-07T17:23:44.291903</t>
  </si>
  <si>
    <t>You are a UAV flight planning assistant. **Use the code interpreter tool to compute the flight plan.**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</t>
  </si>
  <si>
    <t>40.472647000, -86.994222000, 10
40.472647000, -86.993606000, 10
40.472654199, -86.993606000, 10
40.472654199, -86.994222000, 10
40.472661397, -86.994222000, 10
40.472661397, -86.993606000, 10
40.472668596, -86.993606000, 10
40.472668596, -86.994222000, 10
40.472675794, -86.994222000, 10
40.472675794, -86.993606000, 10
40.472682993, -86.993606000, 10
40.472682993, -86.994222000, 10
40.472690191, -86.994222000, 10
40.472690191, -86.993606000, 10
40.472697390, -86.993606000, 10
40.472697390, -86.994222000, 10
40.472704589, -86.994222000, 10
40.472704589, -86.993606000, 10
40.472710000, -86.993606000, 10
40.472710000, -86.994222000, 10</t>
  </si>
  <si>
    <t>0.014581</t>
  </si>
  <si>
    <t>smartprompt-5.2-run2</t>
  </si>
  <si>
    <t>2026-03-07T17:27:16.179148</t>
  </si>
  <si>
    <t>40.472647000, -86.994222000, 10
40.472647000, -86.993606000, 10
40.472654204, -86.993606000, 10
40.472654204, -86.994222000, 10
40.472661409, -86.994222000, 10
40.472661409, -86.993606000, 10
40.472668613, -86.993606000, 10
40.472668613, -86.994222000, 10
40.472675818, -86.994222000, 10
40.472675818, -86.993606000, 10
40.472683022, -86.993606000, 10
40.472683022, -86.994222000, 10
40.472690226, -86.994222000, 10
40.472690226, -86.993606000, 10
40.472697431, -86.993606000, 10
40.472697431, -86.994222000, 10
40.472704635, -86.994222000, 10
40.472704635, -86.993606000, 10
40.472711839, -86.993606000, 10
40.472711839, -86.994222000, 10</t>
  </si>
  <si>
    <t>0.014207</t>
  </si>
  <si>
    <t>smartprompt-5.2-run3</t>
  </si>
  <si>
    <t>2026-03-07T17:30:41.146672</t>
  </si>
  <si>
    <t>40.472647000, -86.994222000, 10
40.472647000, -86.993606000, 10
40.472654186, -86.993606000, 10
40.472654186, -86.994222000, 10
40.472661373, -86.994222000, 10
40.472661373, -86.993606000, 10
40.472668559, -86.993606000, 10
40.472668559, -86.994222000, 10
40.472675746, -86.994222000, 10
40.472675746, -86.993606000, 10
40.472682932, -86.993606000, 10
40.472682932, -86.994222000, 10
40.472690119, -86.994222000, 10
40.472690119, -86.993606000, 10
40.472697305, -86.993606000, 10
40.472697305, -86.994222000, 10
40.472704492, -86.994222000, 10
40.472704492, -86.993606000, 10
40.472710000, -86.993606000, 10
40.472710000, -86.994222000, 10</t>
  </si>
  <si>
    <t>0.014940</t>
  </si>
  <si>
    <t>naive-5.2-high-run1</t>
  </si>
  <si>
    <t>2026-03-07T17:37:51.678645</t>
  </si>
  <si>
    <t>40.47264700, -86.994222, 10
40.47264700, -86.993606, 10
40.47265419, -86.993606, 10
40.47265419, -86.994222, 10
40.47266138, -86.994222, 10
40.47266138, -86.993606, 10
40.47266857, -86.993606, 10
40.47266857, -86.994222, 10
40.47267576, -86.994222, 10
40.47267576, -86.993606, 10
40.47268295, -86.993606, 10
40.47268295, -86.994222, 10
40.47269014, -86.994222, 10
40.47269014, -86.993606, 10
40.47269733, -86.993606, 10
40.47269733, -86.994222, 10
40.47270452, -86.994222, 10
40.47270452, -86.993606, 10
40.47271000, -86.993606, 10
40.47271000, -86.994222, 10</t>
  </si>
  <si>
    <t>0.035838</t>
  </si>
  <si>
    <t>naive-5.2-high-run2</t>
  </si>
  <si>
    <t>2026-03-07T17:38:55.725498</t>
  </si>
  <si>
    <t>40.472647, -86.994222, 10
40.472647, -86.993606, 10
40.472654, -86.993606, 10
40.472654, -86.994222, 10
40.472661, -86.994222, 10
40.472661, -86.993606, 10
40.472668, -86.993606, 10
40.472668, -86.994222, 10
40.472675, -86.994222, 10
40.472675, -86.993606, 10
40.472682, -86.993606, 10
40.472682, -86.994222, 10
40.472689, -86.994222, 10
40.472689, -86.993606, 10
40.472696, -86.993606, 10
40.472696, -86.994222, 10
40.472703, -86.994222, 10
40.472703, -86.993606, 10
40.472710, -86.993606, 10
40.472710, -86.994222, 10</t>
  </si>
  <si>
    <t>0.031764</t>
  </si>
  <si>
    <t>naive-5.2-high-run3</t>
  </si>
  <si>
    <t>2026-03-07T17:39:41.337433</t>
  </si>
  <si>
    <t>40.472665, -86.994222, 10
40.472665, -86.993606, 10
40.472672, -86.993606, 10
40.472672, -86.994222, 10
40.472679, -86.994222, 10
40.472679, -86.993606, 10
40.472687, -86.993606, 10
40.472687, -86.994222, 10
40.472694, -86.994222, 10
40.472694, -86.993606, 10</t>
  </si>
  <si>
    <t>0.024120</t>
  </si>
  <si>
    <t>naive-5.4-run1</t>
  </si>
  <si>
    <t>2026-03-07T17:41:33.070051</t>
  </si>
  <si>
    <t>40.472647, -86.994222, 10
40.472710, -86.994222, 10
40.472710, -86.994175, 10
40.472647, -86.994175, 10
40.472647, -86.994128, 10
40.472710, -86.994128, 10
40.472710, -86.994081, 10
40.472647, -86.994081, 10
40.472647, -86.994034, 10
40.472710, -86.994034, 10
40.472710, -86.993987, 10
40.472647, -86.993987, 10
40.472647, -86.993940, 10
40.472710, -86.993940, 10
40.472710, -86.993893, 10
40.472647, -86.993893, 10
40.472647, -86.993846, 10
40.472710, -86.993846, 10
40.472710, -86.993799, 10
40.472647, -86.993799, 10
40.472647, -86.993752, 10
40.472710, -86.993752, 10
40.472710, -86.993705, 10
40.472647, -86.993705, 10
40.472647, -86.993658, 10
40.472710, -86.993658, 10
40.472710, -86.993611, 10
40.472647, -86.993611, 10
40.472647, -86.993606, 10
40.472710, -86.993606, 10</t>
  </si>
  <si>
    <t>0.006862</t>
  </si>
  <si>
    <t>naive-5.4-run2</t>
  </si>
  <si>
    <t>2026-03-07T17:44:41.704507</t>
  </si>
  <si>
    <t>naive-5.4-run3</t>
  </si>
  <si>
    <t>2026-03-07T17:45:14.539844</t>
  </si>
  <si>
    <t>naive-5.2-reason-none-run4</t>
  </si>
  <si>
    <t>2026-03-07T19:22:13.204001</t>
  </si>
  <si>
    <t xml:space="preserve">[cache-bust: d3jF19AckiAwxo]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
</t>
  </si>
  <si>
    <t>0.004910</t>
  </si>
  <si>
    <t>naive-5.2-reason-high-run4</t>
  </si>
  <si>
    <t>2026-03-07T19:22:34.750472</t>
  </si>
  <si>
    <t xml:space="preserve">[cache-bust: fLjgIOLiYlqHit]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
</t>
  </si>
  <si>
    <t>40.4726470, -86.9942220, 10
40.4726470, -86.9936060, 10
40.4726542, -86.9936060, 10
40.4726542, -86.9942220, 10
40.4726614, -86.9942220, 10
40.4726614, -86.9936060, 10
40.4726686, -86.9936060, 10
40.4726686, -86.9942220, 10
40.4726758, -86.9942220, 10
40.4726758, -86.9936060, 10
40.4726830, -86.9936060, 10
40.4726830, -86.9942220, 10
40.4726902, -86.9942220, 10
40.4726902, -86.9936060, 10
40.4726974, -86.9936060, 10
40.4726974, -86.9942220, 10
40.4727046, -86.9942220, 10
40.4727046, -86.9936060, 10
40.4727100, -86.9936060, 10
40.4727100, -86.9942220, 10</t>
  </si>
  <si>
    <t>0.022678</t>
  </si>
  <si>
    <t>smart-5.2-code-interpreter-run4</t>
  </si>
  <si>
    <t>2026-03-07T19:23:23.843675</t>
  </si>
  <si>
    <t>[cache-bust: cYNcVCiV2KVi2t]
You are a UAV flight planning assistant. **Use the code interpreter tool to compute the flight plan.**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</t>
  </si>
  <si>
    <t>40.472647000, -86.994222000, 10
40.472647000, -86.993606000, 10
40.472654187, -86.993606000, 10
40.472654187, -86.994222000, 10
40.472661373, -86.994222000, 10
40.472661373, -86.993606000, 10
40.472668560, -86.993606000, 10
40.472668560, -86.994222000, 10
40.472675747, -86.994222000, 10
40.472675747, -86.993606000, 10
40.472682933, -86.993606000, 10
40.472682933, -86.994222000, 10
40.472690120, -86.994222000, 10
40.472690120, -86.993606000, 10
40.472697307, -86.993606000, 10
40.472697307, -86.994222000, 10
40.472704493, -86.994222000, 10
40.472704493, -86.993606000, 10
40.472710000, -86.993606000, 10
40.472710000, -86.994222000, 10</t>
  </si>
  <si>
    <t>0.016870</t>
  </si>
  <si>
    <t>naive-5.4-reason-none-run4</t>
  </si>
  <si>
    <t>2026-03-07T19:23:26.684152</t>
  </si>
  <si>
    <t xml:space="preserve">[cache-bust: zVLWGhygHlpQie]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
</t>
  </si>
  <si>
    <t>40.472647, -86.994222, 10
40.472647, -86.993606, 10
40.472665, -86.993606, 10
40.472665, -86.994222, 10
40.472683, -86.994222, 10
40.472683, -86.993606, 10
40.472701, -86.993606, 10
40.472701, -86.994222, 10
40.472710, -86.994222, 10
40.472710, -86.993606, 10</t>
  </si>
  <si>
    <t>0.002700</t>
  </si>
  <si>
    <t>RUN</t>
  </si>
  <si>
    <t>MODEL</t>
  </si>
  <si>
    <t>REASON</t>
  </si>
  <si>
    <t>none</t>
  </si>
  <si>
    <t>high</t>
  </si>
  <si>
    <t>CODE ENFORCE</t>
  </si>
  <si>
    <t>code</t>
  </si>
  <si>
    <t>5.2 reason</t>
  </si>
  <si>
    <t>5.2 code</t>
  </si>
  <si>
    <t>AND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</si>
</sst>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1" width="30" customWidth="1"/>
    <col min="2" max="16" width="8.832031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86</v>
      </c>
      <c r="Q1" t="s">
        <v>77</v>
      </c>
      <c r="R1" t="s">
        <v>78</v>
      </c>
      <c r="S1" t="s">
        <v>79</v>
      </c>
      <c r="T1" t="s">
        <v>82</v>
      </c>
    </row>
    <row r="2" spans="1:20" x14ac:dyDescent="0.2">
      <c r="A2" t="s">
        <v>14</v>
      </c>
      <c r="B2" t="s">
        <v>16</v>
      </c>
      <c r="C2" t="s">
        <v>17</v>
      </c>
      <c r="D2" t="s">
        <v>18</v>
      </c>
      <c r="E2">
        <v>207</v>
      </c>
      <c r="F2">
        <v>323</v>
      </c>
      <c r="G2" t="s">
        <v>15</v>
      </c>
      <c r="H2">
        <v>5.57</v>
      </c>
      <c r="I2">
        <v>1</v>
      </c>
      <c r="J2">
        <v>1</v>
      </c>
      <c r="K2">
        <v>1</v>
      </c>
      <c r="L2">
        <v>1</v>
      </c>
      <c r="M2">
        <v>20</v>
      </c>
      <c r="O2" t="b">
        <f t="shared" ref="O2:O17" si="0">AND(I2:L2)</f>
        <v>1</v>
      </c>
      <c r="Q2">
        <v>1</v>
      </c>
      <c r="R2">
        <v>5.2</v>
      </c>
      <c r="S2" t="s">
        <v>80</v>
      </c>
      <c r="T2" t="s">
        <v>80</v>
      </c>
    </row>
    <row r="3" spans="1:20" x14ac:dyDescent="0.2">
      <c r="A3" t="s">
        <v>19</v>
      </c>
      <c r="B3" t="s">
        <v>20</v>
      </c>
      <c r="C3" t="s">
        <v>17</v>
      </c>
      <c r="D3" t="s">
        <v>21</v>
      </c>
      <c r="E3">
        <v>207</v>
      </c>
      <c r="F3">
        <v>2851</v>
      </c>
      <c r="G3" t="s">
        <v>22</v>
      </c>
      <c r="H3">
        <v>33.24</v>
      </c>
      <c r="I3">
        <v>1</v>
      </c>
      <c r="J3">
        <v>0</v>
      </c>
      <c r="K3">
        <v>0</v>
      </c>
      <c r="L3">
        <v>1</v>
      </c>
      <c r="M3">
        <v>178</v>
      </c>
      <c r="O3" t="b">
        <f t="shared" si="0"/>
        <v>0</v>
      </c>
      <c r="Q3">
        <v>2</v>
      </c>
      <c r="R3">
        <v>5.2</v>
      </c>
      <c r="S3" t="s">
        <v>80</v>
      </c>
      <c r="T3" t="s">
        <v>80</v>
      </c>
    </row>
    <row r="4" spans="1:20" x14ac:dyDescent="0.2">
      <c r="A4" t="s">
        <v>23</v>
      </c>
      <c r="B4" t="s">
        <v>24</v>
      </c>
      <c r="C4" t="s">
        <v>17</v>
      </c>
      <c r="D4" t="s">
        <v>21</v>
      </c>
      <c r="E4">
        <v>207</v>
      </c>
      <c r="F4">
        <v>2851</v>
      </c>
      <c r="G4" t="s">
        <v>22</v>
      </c>
      <c r="H4">
        <v>33.04</v>
      </c>
      <c r="I4">
        <v>1</v>
      </c>
      <c r="J4">
        <v>0</v>
      </c>
      <c r="K4">
        <v>0</v>
      </c>
      <c r="L4">
        <v>1</v>
      </c>
      <c r="M4">
        <v>178</v>
      </c>
      <c r="O4" t="b">
        <f t="shared" si="0"/>
        <v>0</v>
      </c>
      <c r="Q4">
        <v>3</v>
      </c>
      <c r="R4">
        <v>5.2</v>
      </c>
      <c r="S4" t="s">
        <v>80</v>
      </c>
      <c r="T4" t="s">
        <v>80</v>
      </c>
    </row>
    <row r="5" spans="1:20" x14ac:dyDescent="0.2">
      <c r="A5" t="s">
        <v>25</v>
      </c>
      <c r="B5" t="s">
        <v>26</v>
      </c>
      <c r="C5" t="s">
        <v>27</v>
      </c>
      <c r="D5" t="s">
        <v>28</v>
      </c>
      <c r="E5">
        <v>2132</v>
      </c>
      <c r="F5">
        <v>775</v>
      </c>
      <c r="G5" t="s">
        <v>29</v>
      </c>
      <c r="H5">
        <v>71.03</v>
      </c>
      <c r="I5">
        <v>1</v>
      </c>
      <c r="J5">
        <v>1</v>
      </c>
      <c r="K5">
        <v>1</v>
      </c>
      <c r="L5">
        <v>1</v>
      </c>
      <c r="M5">
        <v>20</v>
      </c>
      <c r="O5" t="b">
        <f t="shared" si="0"/>
        <v>1</v>
      </c>
      <c r="Q5">
        <v>1</v>
      </c>
      <c r="R5">
        <v>5.2</v>
      </c>
      <c r="S5" t="s">
        <v>80</v>
      </c>
      <c r="T5" t="s">
        <v>83</v>
      </c>
    </row>
    <row r="6" spans="1:20" x14ac:dyDescent="0.2">
      <c r="A6" t="s">
        <v>30</v>
      </c>
      <c r="B6" t="s">
        <v>31</v>
      </c>
      <c r="C6" t="s">
        <v>27</v>
      </c>
      <c r="D6" t="s">
        <v>32</v>
      </c>
      <c r="E6">
        <v>2118</v>
      </c>
      <c r="F6">
        <v>750</v>
      </c>
      <c r="G6" t="s">
        <v>33</v>
      </c>
      <c r="H6">
        <v>43.04</v>
      </c>
      <c r="I6">
        <v>1</v>
      </c>
      <c r="J6">
        <v>1</v>
      </c>
      <c r="K6">
        <v>1</v>
      </c>
      <c r="L6">
        <v>1</v>
      </c>
      <c r="M6">
        <v>20</v>
      </c>
      <c r="O6" t="b">
        <f t="shared" si="0"/>
        <v>1</v>
      </c>
      <c r="Q6">
        <v>2</v>
      </c>
      <c r="R6">
        <v>5.2</v>
      </c>
      <c r="S6" t="s">
        <v>80</v>
      </c>
      <c r="T6" t="s">
        <v>83</v>
      </c>
    </row>
    <row r="7" spans="1:20" x14ac:dyDescent="0.2">
      <c r="A7" t="s">
        <v>34</v>
      </c>
      <c r="B7" t="s">
        <v>35</v>
      </c>
      <c r="C7" t="s">
        <v>27</v>
      </c>
      <c r="D7" t="s">
        <v>36</v>
      </c>
      <c r="E7">
        <v>2249</v>
      </c>
      <c r="F7">
        <v>786</v>
      </c>
      <c r="G7" t="s">
        <v>37</v>
      </c>
      <c r="H7">
        <v>70.180000000000007</v>
      </c>
      <c r="I7">
        <v>1</v>
      </c>
      <c r="J7">
        <v>1</v>
      </c>
      <c r="K7">
        <v>1</v>
      </c>
      <c r="L7">
        <v>1</v>
      </c>
      <c r="M7">
        <v>20</v>
      </c>
      <c r="O7" t="b">
        <f t="shared" si="0"/>
        <v>1</v>
      </c>
      <c r="Q7">
        <v>3</v>
      </c>
      <c r="R7">
        <v>5.2</v>
      </c>
      <c r="S7" t="s">
        <v>80</v>
      </c>
      <c r="T7" t="s">
        <v>83</v>
      </c>
    </row>
    <row r="8" spans="1:20" x14ac:dyDescent="0.2">
      <c r="A8" t="s">
        <v>38</v>
      </c>
      <c r="B8" t="s">
        <v>39</v>
      </c>
      <c r="C8" t="s">
        <v>17</v>
      </c>
      <c r="D8" t="s">
        <v>40</v>
      </c>
      <c r="E8">
        <v>207</v>
      </c>
      <c r="F8">
        <v>2534</v>
      </c>
      <c r="G8" t="s">
        <v>41</v>
      </c>
      <c r="H8">
        <v>38.83</v>
      </c>
      <c r="I8">
        <v>1</v>
      </c>
      <c r="J8">
        <v>1</v>
      </c>
      <c r="K8">
        <v>1</v>
      </c>
      <c r="L8">
        <v>1</v>
      </c>
      <c r="M8">
        <v>20</v>
      </c>
      <c r="O8" t="b">
        <f t="shared" si="0"/>
        <v>1</v>
      </c>
      <c r="Q8">
        <v>1</v>
      </c>
      <c r="R8">
        <v>5.2</v>
      </c>
      <c r="S8" t="s">
        <v>81</v>
      </c>
      <c r="T8" t="s">
        <v>80</v>
      </c>
    </row>
    <row r="9" spans="1:20" x14ac:dyDescent="0.2">
      <c r="A9" t="s">
        <v>42</v>
      </c>
      <c r="B9" t="s">
        <v>43</v>
      </c>
      <c r="C9" t="s">
        <v>17</v>
      </c>
      <c r="D9" t="s">
        <v>44</v>
      </c>
      <c r="E9">
        <v>207</v>
      </c>
      <c r="F9">
        <v>2243</v>
      </c>
      <c r="G9" t="s">
        <v>45</v>
      </c>
      <c r="H9">
        <v>35.21</v>
      </c>
      <c r="I9">
        <v>1</v>
      </c>
      <c r="J9">
        <v>1</v>
      </c>
      <c r="K9">
        <v>1</v>
      </c>
      <c r="L9">
        <v>1</v>
      </c>
      <c r="M9">
        <v>20</v>
      </c>
      <c r="O9" t="b">
        <f t="shared" si="0"/>
        <v>1</v>
      </c>
      <c r="Q9">
        <v>2</v>
      </c>
      <c r="R9">
        <v>5.2</v>
      </c>
      <c r="S9" t="s">
        <v>81</v>
      </c>
      <c r="T9" t="s">
        <v>80</v>
      </c>
    </row>
    <row r="10" spans="1:20" x14ac:dyDescent="0.2">
      <c r="A10" t="s">
        <v>46</v>
      </c>
      <c r="B10" t="s">
        <v>47</v>
      </c>
      <c r="C10" t="s">
        <v>17</v>
      </c>
      <c r="D10" t="s">
        <v>48</v>
      </c>
      <c r="E10">
        <v>207</v>
      </c>
      <c r="F10">
        <v>1697</v>
      </c>
      <c r="G10" t="s">
        <v>49</v>
      </c>
      <c r="H10">
        <v>27.94</v>
      </c>
      <c r="I10">
        <v>1</v>
      </c>
      <c r="J10">
        <v>0</v>
      </c>
      <c r="K10">
        <v>0</v>
      </c>
      <c r="L10">
        <v>1</v>
      </c>
      <c r="M10">
        <v>10</v>
      </c>
      <c r="O10" t="b">
        <f t="shared" si="0"/>
        <v>0</v>
      </c>
      <c r="Q10">
        <v>3</v>
      </c>
      <c r="R10">
        <v>5.2</v>
      </c>
      <c r="S10" t="s">
        <v>81</v>
      </c>
      <c r="T10" t="s">
        <v>80</v>
      </c>
    </row>
    <row r="11" spans="1:20" x14ac:dyDescent="0.2">
      <c r="A11" t="s">
        <v>58</v>
      </c>
      <c r="B11" t="s">
        <v>59</v>
      </c>
      <c r="C11" t="s">
        <v>60</v>
      </c>
      <c r="D11" t="s">
        <v>18</v>
      </c>
      <c r="E11">
        <v>222</v>
      </c>
      <c r="F11">
        <v>323</v>
      </c>
      <c r="G11" t="s">
        <v>61</v>
      </c>
      <c r="H11">
        <v>4.17</v>
      </c>
      <c r="I11">
        <v>1</v>
      </c>
      <c r="J11">
        <v>1</v>
      </c>
      <c r="K11">
        <v>1</v>
      </c>
      <c r="L11">
        <v>1</v>
      </c>
      <c r="M11">
        <v>20</v>
      </c>
      <c r="O11" t="b">
        <f t="shared" si="0"/>
        <v>1</v>
      </c>
      <c r="Q11">
        <v>4</v>
      </c>
      <c r="R11">
        <v>5.2</v>
      </c>
      <c r="S11" t="s">
        <v>80</v>
      </c>
      <c r="T11" t="s">
        <v>80</v>
      </c>
    </row>
    <row r="12" spans="1:20" x14ac:dyDescent="0.2">
      <c r="A12" t="s">
        <v>50</v>
      </c>
      <c r="B12" t="s">
        <v>51</v>
      </c>
      <c r="C12" t="s">
        <v>17</v>
      </c>
      <c r="D12" t="s">
        <v>52</v>
      </c>
      <c r="E12">
        <v>207</v>
      </c>
      <c r="F12">
        <v>423</v>
      </c>
      <c r="G12" t="s">
        <v>53</v>
      </c>
      <c r="H12">
        <v>5.68</v>
      </c>
      <c r="I12">
        <v>0</v>
      </c>
      <c r="J12">
        <v>0</v>
      </c>
      <c r="K12">
        <v>0</v>
      </c>
      <c r="L12">
        <v>1</v>
      </c>
      <c r="M12">
        <v>30</v>
      </c>
      <c r="O12" t="b">
        <f t="shared" si="0"/>
        <v>0</v>
      </c>
      <c r="Q12">
        <v>1</v>
      </c>
      <c r="R12">
        <v>5.4</v>
      </c>
      <c r="S12" t="s">
        <v>80</v>
      </c>
      <c r="T12" t="s">
        <v>80</v>
      </c>
    </row>
    <row r="13" spans="1:20" x14ac:dyDescent="0.2">
      <c r="A13" t="s">
        <v>54</v>
      </c>
      <c r="B13" t="s">
        <v>55</v>
      </c>
      <c r="C13" t="s">
        <v>17</v>
      </c>
      <c r="D13" t="s">
        <v>52</v>
      </c>
      <c r="E13">
        <v>207</v>
      </c>
      <c r="F13">
        <v>423</v>
      </c>
      <c r="G13" t="s">
        <v>53</v>
      </c>
      <c r="H13">
        <v>5.51</v>
      </c>
      <c r="I13">
        <v>0</v>
      </c>
      <c r="J13">
        <v>0</v>
      </c>
      <c r="K13">
        <v>0</v>
      </c>
      <c r="L13">
        <v>1</v>
      </c>
      <c r="M13">
        <v>30</v>
      </c>
      <c r="O13" t="b">
        <f t="shared" si="0"/>
        <v>0</v>
      </c>
      <c r="Q13">
        <v>2</v>
      </c>
      <c r="R13">
        <v>5.4</v>
      </c>
      <c r="S13" t="s">
        <v>80</v>
      </c>
      <c r="T13" t="s">
        <v>80</v>
      </c>
    </row>
    <row r="14" spans="1:20" x14ac:dyDescent="0.2">
      <c r="A14" t="s">
        <v>56</v>
      </c>
      <c r="B14" t="s">
        <v>57</v>
      </c>
      <c r="C14" t="s">
        <v>17</v>
      </c>
      <c r="D14" t="s">
        <v>52</v>
      </c>
      <c r="E14">
        <v>207</v>
      </c>
      <c r="F14">
        <v>423</v>
      </c>
      <c r="G14" t="s">
        <v>53</v>
      </c>
      <c r="H14">
        <v>5.5</v>
      </c>
      <c r="I14">
        <v>0</v>
      </c>
      <c r="J14">
        <v>0</v>
      </c>
      <c r="K14">
        <v>0</v>
      </c>
      <c r="L14">
        <v>1</v>
      </c>
      <c r="M14">
        <v>30</v>
      </c>
      <c r="O14" t="b">
        <f t="shared" si="0"/>
        <v>0</v>
      </c>
      <c r="Q14">
        <v>3</v>
      </c>
      <c r="R14">
        <v>5.4</v>
      </c>
      <c r="S14" t="s">
        <v>80</v>
      </c>
      <c r="T14" t="s">
        <v>80</v>
      </c>
    </row>
    <row r="15" spans="1:20" x14ac:dyDescent="0.2">
      <c r="A15" t="s">
        <v>62</v>
      </c>
      <c r="B15" t="s">
        <v>63</v>
      </c>
      <c r="C15" t="s">
        <v>64</v>
      </c>
      <c r="D15" t="s">
        <v>65</v>
      </c>
      <c r="E15">
        <v>223</v>
      </c>
      <c r="F15">
        <v>1592</v>
      </c>
      <c r="G15" t="s">
        <v>66</v>
      </c>
      <c r="H15">
        <v>21.31</v>
      </c>
      <c r="I15">
        <v>1</v>
      </c>
      <c r="J15">
        <v>1</v>
      </c>
      <c r="K15">
        <v>1</v>
      </c>
      <c r="L15">
        <v>1</v>
      </c>
      <c r="M15">
        <v>20</v>
      </c>
      <c r="O15" t="b">
        <f t="shared" si="0"/>
        <v>1</v>
      </c>
      <c r="Q15">
        <v>4</v>
      </c>
      <c r="R15">
        <v>5.2</v>
      </c>
      <c r="S15" t="s">
        <v>81</v>
      </c>
      <c r="T15" t="s">
        <v>80</v>
      </c>
    </row>
    <row r="16" spans="1:20" x14ac:dyDescent="0.2">
      <c r="A16" t="s">
        <v>67</v>
      </c>
      <c r="B16" t="s">
        <v>68</v>
      </c>
      <c r="C16" t="s">
        <v>69</v>
      </c>
      <c r="D16" t="s">
        <v>70</v>
      </c>
      <c r="E16">
        <v>2288</v>
      </c>
      <c r="F16">
        <v>919</v>
      </c>
      <c r="G16" t="s">
        <v>71</v>
      </c>
      <c r="H16">
        <v>49.08</v>
      </c>
      <c r="I16">
        <v>1</v>
      </c>
      <c r="J16">
        <v>1</v>
      </c>
      <c r="K16">
        <v>1</v>
      </c>
      <c r="L16">
        <v>1</v>
      </c>
      <c r="M16">
        <v>20</v>
      </c>
      <c r="O16" t="b">
        <f t="shared" si="0"/>
        <v>1</v>
      </c>
      <c r="Q16">
        <v>4</v>
      </c>
      <c r="R16">
        <v>5.2</v>
      </c>
      <c r="S16" t="s">
        <v>80</v>
      </c>
      <c r="T16" t="s">
        <v>83</v>
      </c>
    </row>
    <row r="17" spans="1:20" x14ac:dyDescent="0.2">
      <c r="A17" t="s">
        <v>72</v>
      </c>
      <c r="B17" t="s">
        <v>73</v>
      </c>
      <c r="C17" t="s">
        <v>74</v>
      </c>
      <c r="D17" t="s">
        <v>75</v>
      </c>
      <c r="E17">
        <v>222</v>
      </c>
      <c r="F17">
        <v>143</v>
      </c>
      <c r="G17" t="s">
        <v>76</v>
      </c>
      <c r="H17">
        <v>2.83</v>
      </c>
      <c r="I17">
        <v>1</v>
      </c>
      <c r="J17">
        <v>0</v>
      </c>
      <c r="K17">
        <v>1</v>
      </c>
      <c r="L17">
        <v>1</v>
      </c>
      <c r="M17">
        <v>10</v>
      </c>
      <c r="O17" t="b">
        <f t="shared" si="0"/>
        <v>0</v>
      </c>
      <c r="Q17">
        <v>4</v>
      </c>
      <c r="R17">
        <v>5.4</v>
      </c>
      <c r="S17" t="s">
        <v>80</v>
      </c>
      <c r="T17" t="s">
        <v>80</v>
      </c>
    </row>
    <row r="26" spans="1:20" x14ac:dyDescent="0.2">
      <c r="L26">
        <v>5.2</v>
      </c>
      <c r="M26" s="1">
        <v>0.5</v>
      </c>
    </row>
    <row r="27" spans="1:20" x14ac:dyDescent="0.2">
      <c r="L27">
        <v>5.4</v>
      </c>
      <c r="M27" s="1">
        <v>0</v>
      </c>
    </row>
    <row r="28" spans="1:20" x14ac:dyDescent="0.2">
      <c r="L28" t="s">
        <v>84</v>
      </c>
      <c r="M28" s="1">
        <v>0.75</v>
      </c>
    </row>
    <row r="29" spans="1:20" x14ac:dyDescent="0.2">
      <c r="L29" t="s">
        <v>85</v>
      </c>
      <c r="M29" s="1">
        <v>1</v>
      </c>
    </row>
  </sheetData>
  <autoFilter ref="A1:T17" xr:uid="{00000000-0001-0000-0000-000000000000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Aggarwal</cp:lastModifiedBy>
  <dcterms:created xsi:type="dcterms:W3CDTF">2026-03-07T22:01:24Z</dcterms:created>
  <dcterms:modified xsi:type="dcterms:W3CDTF">2026-03-12T01:16:24Z</dcterms:modified>
</cp:coreProperties>
</file>